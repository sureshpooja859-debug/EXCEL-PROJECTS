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428C868F651A39A/Documents/"/>
    </mc:Choice>
  </mc:AlternateContent>
  <xr:revisionPtr revIDLastSave="116" documentId="8_{0FA7F88F-B7A5-48C3-A020-98D691EFF12C}" xr6:coauthVersionLast="47" xr6:coauthVersionMax="47" xr10:uidLastSave="{89A9126A-11E6-4CD5-9775-56408A70C3D2}"/>
  <bookViews>
    <workbookView xWindow="-108" yWindow="-108" windowWidth="23256" windowHeight="12456" activeTab="1" xr2:uid="{00000000-000D-0000-FFFF-FFFF00000000}"/>
  </bookViews>
  <sheets>
    <sheet name="Sheet1" sheetId="2" r:id="rId1"/>
    <sheet name="StarbucksData" sheetId="1" r:id="rId2"/>
    <sheet name="Sheet3" sheetId="4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1" l="1"/>
  <c r="AF7" i="1"/>
  <c r="AF6" i="1"/>
  <c r="AF5" i="1"/>
  <c r="AF4" i="1"/>
  <c r="AF3" i="1"/>
</calcChain>
</file>

<file path=xl/sharedStrings.xml><?xml version="1.0" encoding="utf-8"?>
<sst xmlns="http://schemas.openxmlformats.org/spreadsheetml/2006/main" count="6615" uniqueCount="107">
  <si>
    <t>Store ID</t>
  </si>
  <si>
    <t>Store Name</t>
  </si>
  <si>
    <t>Country</t>
  </si>
  <si>
    <t>State</t>
  </si>
  <si>
    <t>City</t>
  </si>
  <si>
    <t>Region</t>
  </si>
  <si>
    <t>Date</t>
  </si>
  <si>
    <t>Month</t>
  </si>
  <si>
    <t>Product Category</t>
  </si>
  <si>
    <t>Product Name</t>
  </si>
  <si>
    <t>Salesperson</t>
  </si>
  <si>
    <t>Units Sold</t>
  </si>
  <si>
    <t>Sales Amount</t>
  </si>
  <si>
    <t>Cost</t>
  </si>
  <si>
    <t>Profit</t>
  </si>
  <si>
    <t>Customer Visits</t>
  </si>
  <si>
    <t>Avg Rating</t>
  </si>
  <si>
    <t>Discount %</t>
  </si>
  <si>
    <t>Payment Mode</t>
  </si>
  <si>
    <t>Membership Type</t>
  </si>
  <si>
    <t>Order Status</t>
  </si>
  <si>
    <t>Latitude</t>
  </si>
  <si>
    <t>Longitude</t>
  </si>
  <si>
    <t>Daily Open Sales</t>
  </si>
  <si>
    <t>Daily High Sales</t>
  </si>
  <si>
    <t>Daily Low Sales</t>
  </si>
  <si>
    <t>Daily Close Sales</t>
  </si>
  <si>
    <t>Lead Stage</t>
  </si>
  <si>
    <t>Starbucks Bengaluru</t>
  </si>
  <si>
    <t>India</t>
  </si>
  <si>
    <t>Karnataka</t>
  </si>
  <si>
    <t>Bengaluru</t>
  </si>
  <si>
    <t>South</t>
  </si>
  <si>
    <t>February</t>
  </si>
  <si>
    <t>Coffee</t>
  </si>
  <si>
    <t>Latte</t>
  </si>
  <si>
    <t>Neha</t>
  </si>
  <si>
    <t>Card</t>
  </si>
  <si>
    <t>Premium</t>
  </si>
  <si>
    <t>Refunded</t>
  </si>
  <si>
    <t>Ordered</t>
  </si>
  <si>
    <t>Starbucks New Delhi</t>
  </si>
  <si>
    <t>Delhi</t>
  </si>
  <si>
    <t>New Delhi</t>
  </si>
  <si>
    <t>North</t>
  </si>
  <si>
    <t>January</t>
  </si>
  <si>
    <t>Cappuccino</t>
  </si>
  <si>
    <t>Anu</t>
  </si>
  <si>
    <t>UPI</t>
  </si>
  <si>
    <t>Gold</t>
  </si>
  <si>
    <t>Starbucks Mumbai</t>
  </si>
  <si>
    <t>Maharashtra</t>
  </si>
  <si>
    <t>Mumbai</t>
  </si>
  <si>
    <t>West</t>
  </si>
  <si>
    <t>May</t>
  </si>
  <si>
    <t>Completed</t>
  </si>
  <si>
    <t>Walk-in</t>
  </si>
  <si>
    <t>Bakery</t>
  </si>
  <si>
    <t>Muffin</t>
  </si>
  <si>
    <t>Vivek</t>
  </si>
  <si>
    <t>Starbucks Chennai</t>
  </si>
  <si>
    <t>Tamil Nadu</t>
  </si>
  <si>
    <t>Chennai</t>
  </si>
  <si>
    <t>Served</t>
  </si>
  <si>
    <t>Cash</t>
  </si>
  <si>
    <t>Starbucks Kochi</t>
  </si>
  <si>
    <t>Kerala</t>
  </si>
  <si>
    <t>Kochi</t>
  </si>
  <si>
    <t>June</t>
  </si>
  <si>
    <t>Tea</t>
  </si>
  <si>
    <t>Chai</t>
  </si>
  <si>
    <t>March</t>
  </si>
  <si>
    <t>Green Tea</t>
  </si>
  <si>
    <t>Asha</t>
  </si>
  <si>
    <t>Cancelled</t>
  </si>
  <si>
    <t>April</t>
  </si>
  <si>
    <t>Regular</t>
  </si>
  <si>
    <t>Espresso</t>
  </si>
  <si>
    <t>Rahul</t>
  </si>
  <si>
    <t>Paid</t>
  </si>
  <si>
    <t>Beverage</t>
  </si>
  <si>
    <t>Cold Brew</t>
  </si>
  <si>
    <t>Frappuccino</t>
  </si>
  <si>
    <t>Croissant</t>
  </si>
  <si>
    <t>Total Sales</t>
  </si>
  <si>
    <t>Total Profit</t>
  </si>
  <si>
    <t>Total Unit Sold</t>
  </si>
  <si>
    <t>Total Coustomer Visits</t>
  </si>
  <si>
    <t>Average Coustomer Rating</t>
  </si>
  <si>
    <t>Total Stores</t>
  </si>
  <si>
    <t>Row Labels</t>
  </si>
  <si>
    <t>Grand Total</t>
  </si>
  <si>
    <t>Sum of Sales Amount</t>
  </si>
  <si>
    <t>Average of Sales Amount</t>
  </si>
  <si>
    <t>Average of Daily Open Sales</t>
  </si>
  <si>
    <t>Average of Daily Close Sales</t>
  </si>
  <si>
    <t>Average of Daily High Sales</t>
  </si>
  <si>
    <t>Jan</t>
  </si>
  <si>
    <t>Feb</t>
  </si>
  <si>
    <t>Mar</t>
  </si>
  <si>
    <t>Apr</t>
  </si>
  <si>
    <t>Jun</t>
  </si>
  <si>
    <t>Average of Daily Low Sales</t>
  </si>
  <si>
    <t>Count of Lead Stage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</si>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</sst>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6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[Starbucks_Sales_Dataset_500Rows.xlsx]StarbucksData!PivotTable3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StarbucksData!$AF$15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StarbucksData!$AE$16:$AE$20</c:f>
              <c:strCache>
                <c:ptCount val="4"/>
                <c:pt idx="0">
                  <c:v>Bakery</c:v>
                </c:pt>
                <c:pt idx="1">
                  <c:v>Beverage</c:v>
                </c:pt>
                <c:pt idx="2">
                  <c:v>Coffee</c:v>
                </c:pt>
                <c:pt idx="3">
                  <c:v>Tea</c:v>
                </c:pt>
              </c:strCache>
            </c:strRef>
          </c:cat>
          <c:val>
            <c:numRef>
              <c:f>StarbucksData!$AF$16:$AF$20</c:f>
              <c:numCache>
                <c:formatCode>General</c:formatCode>
                <c:ptCount val="4"/>
                <c:pt idx="0">
                  <c:v>1273672</c:v>
                </c:pt>
                <c:pt idx="1">
                  <c:v>1200282</c:v>
                </c:pt>
                <c:pt idx="2">
                  <c:v>1344027</c:v>
                </c:pt>
                <c:pt idx="3">
                  <c:v>1074526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A-45B7-B8BD-65D826DEC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7691680"/>
        <c:axId val="1267679680"/>
        <c:axId val="0"/>
      </c:bar3DChart>
      <c:catAx>
        <c:axId val="126769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79680"/>
        <c:crosses val="autoZero"/>
        <c:auto val="1"/>
        <c:lblAlgn val="ctr"/>
        <c:lblOffset val="100"/>
        <c:noMultiLvlLbl val="0"/>
      </c:catAx>
      <c:valAx>
        <c:axId val="126767968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9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[Starbucks_Sales_Dataset_500Rows.xlsx]StarbucksData!PivotTable4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StarbucksData!$AI$15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17-442C-AFE0-C8FA5AF47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17-442C-AFE0-C8FA5AF47B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17-442C-AFE0-C8FA5AF47B60}"/>
              </c:ext>
            </c:extLst>
          </c:dPt>
          <c:cat>
            <c:strRef>
              <c:f>StarbucksData!$AH$16:$AH$19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StarbucksData!$AI$16:$AI$19</c:f>
              <c:numCache>
                <c:formatCode>General</c:formatCode>
                <c:ptCount val="3"/>
                <c:pt idx="0">
                  <c:v>1579183</c:v>
                </c:pt>
                <c:pt idx="1">
                  <c:v>1480762</c:v>
                </c:pt>
                <c:pt idx="2">
                  <c:v>1832562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D-4FED-9E2F-8893B32ED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[Starbucks_Sales_Dataset_500Rows.xlsx]StarbucksData!PivotTable5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 TREND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2537182852143"/>
          <c:y val="0.26328484981044037"/>
          <c:w val="0.68391863517060369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StarbucksData!$AL$15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StarbucksData!$AK$16:$AK$22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StarbucksData!$AL$16:$AL$22</c:f>
              <c:numCache>
                <c:formatCode>General</c:formatCode>
                <c:ptCount val="6"/>
                <c:pt idx="0">
                  <c:v>773789</c:v>
                </c:pt>
                <c:pt idx="1">
                  <c:v>850445</c:v>
                </c:pt>
                <c:pt idx="2">
                  <c:v>877716</c:v>
                </c:pt>
                <c:pt idx="3">
                  <c:v>784217</c:v>
                </c:pt>
                <c:pt idx="4">
                  <c:v>669226</c:v>
                </c:pt>
                <c:pt idx="5">
                  <c:v>937114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A-474D-8C1A-12EBB7634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845568"/>
        <c:axId val="1671859968"/>
      </c:lineChart>
      <c:catAx>
        <c:axId val="16718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59968"/>
        <c:crosses val="autoZero"/>
        <c:auto val="1"/>
        <c:lblAlgn val="ctr"/>
        <c:lblOffset val="100"/>
        <c:noMultiLvlLbl val="0"/>
      </c:catAx>
      <c:valAx>
        <c:axId val="16718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4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StarbucksData!$AQ$32:$AQ$255</c:f>
              <c:numCache>
                <c:formatCode>General</c:formatCode>
                <c:ptCount val="22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80</c:v>
                </c:pt>
                <c:pt idx="38">
                  <c:v>81</c:v>
                </c:pt>
                <c:pt idx="39">
                  <c:v>82</c:v>
                </c:pt>
                <c:pt idx="40">
                  <c:v>83</c:v>
                </c:pt>
                <c:pt idx="41">
                  <c:v>85</c:v>
                </c:pt>
                <c:pt idx="42">
                  <c:v>86</c:v>
                </c:pt>
                <c:pt idx="43">
                  <c:v>87</c:v>
                </c:pt>
                <c:pt idx="44">
                  <c:v>89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95</c:v>
                </c:pt>
                <c:pt idx="49">
                  <c:v>96</c:v>
                </c:pt>
                <c:pt idx="50">
                  <c:v>98</c:v>
                </c:pt>
                <c:pt idx="51">
                  <c:v>99</c:v>
                </c:pt>
                <c:pt idx="52">
                  <c:v>100</c:v>
                </c:pt>
                <c:pt idx="53">
                  <c:v>101</c:v>
                </c:pt>
                <c:pt idx="54">
                  <c:v>102</c:v>
                </c:pt>
                <c:pt idx="55">
                  <c:v>103</c:v>
                </c:pt>
                <c:pt idx="56">
                  <c:v>104</c:v>
                </c:pt>
                <c:pt idx="57">
                  <c:v>105</c:v>
                </c:pt>
                <c:pt idx="58">
                  <c:v>106</c:v>
                </c:pt>
                <c:pt idx="59">
                  <c:v>107</c:v>
                </c:pt>
                <c:pt idx="60">
                  <c:v>108</c:v>
                </c:pt>
                <c:pt idx="61">
                  <c:v>109</c:v>
                </c:pt>
                <c:pt idx="62">
                  <c:v>110</c:v>
                </c:pt>
                <c:pt idx="63">
                  <c:v>112</c:v>
                </c:pt>
                <c:pt idx="64">
                  <c:v>113</c:v>
                </c:pt>
                <c:pt idx="65">
                  <c:v>114</c:v>
                </c:pt>
                <c:pt idx="66">
                  <c:v>115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137</c:v>
                </c:pt>
                <c:pt idx="86">
                  <c:v>139</c:v>
                </c:pt>
                <c:pt idx="87">
                  <c:v>140</c:v>
                </c:pt>
                <c:pt idx="88">
                  <c:v>141</c:v>
                </c:pt>
                <c:pt idx="89">
                  <c:v>143</c:v>
                </c:pt>
                <c:pt idx="90">
                  <c:v>144</c:v>
                </c:pt>
                <c:pt idx="91">
                  <c:v>145</c:v>
                </c:pt>
                <c:pt idx="92">
                  <c:v>147</c:v>
                </c:pt>
                <c:pt idx="93">
                  <c:v>148</c:v>
                </c:pt>
                <c:pt idx="94">
                  <c:v>149</c:v>
                </c:pt>
                <c:pt idx="95">
                  <c:v>151</c:v>
                </c:pt>
                <c:pt idx="96">
                  <c:v>152</c:v>
                </c:pt>
                <c:pt idx="97">
                  <c:v>153</c:v>
                </c:pt>
                <c:pt idx="98">
                  <c:v>154</c:v>
                </c:pt>
                <c:pt idx="99">
                  <c:v>155</c:v>
                </c:pt>
                <c:pt idx="100">
                  <c:v>156</c:v>
                </c:pt>
                <c:pt idx="101">
                  <c:v>157</c:v>
                </c:pt>
                <c:pt idx="102">
                  <c:v>158</c:v>
                </c:pt>
                <c:pt idx="103">
                  <c:v>159</c:v>
                </c:pt>
                <c:pt idx="104">
                  <c:v>160</c:v>
                </c:pt>
                <c:pt idx="105">
                  <c:v>161</c:v>
                </c:pt>
                <c:pt idx="106">
                  <c:v>162</c:v>
                </c:pt>
                <c:pt idx="107">
                  <c:v>163</c:v>
                </c:pt>
                <c:pt idx="108">
                  <c:v>164</c:v>
                </c:pt>
                <c:pt idx="109">
                  <c:v>165</c:v>
                </c:pt>
                <c:pt idx="110">
                  <c:v>166</c:v>
                </c:pt>
                <c:pt idx="111">
                  <c:v>168</c:v>
                </c:pt>
                <c:pt idx="112">
                  <c:v>169</c:v>
                </c:pt>
                <c:pt idx="113">
                  <c:v>170</c:v>
                </c:pt>
                <c:pt idx="114">
                  <c:v>171</c:v>
                </c:pt>
                <c:pt idx="115">
                  <c:v>172</c:v>
                </c:pt>
                <c:pt idx="116">
                  <c:v>173</c:v>
                </c:pt>
                <c:pt idx="117">
                  <c:v>174</c:v>
                </c:pt>
                <c:pt idx="118">
                  <c:v>175</c:v>
                </c:pt>
                <c:pt idx="119">
                  <c:v>176</c:v>
                </c:pt>
                <c:pt idx="120">
                  <c:v>177</c:v>
                </c:pt>
                <c:pt idx="121">
                  <c:v>179</c:v>
                </c:pt>
                <c:pt idx="122">
                  <c:v>180</c:v>
                </c:pt>
                <c:pt idx="123">
                  <c:v>181</c:v>
                </c:pt>
                <c:pt idx="124">
                  <c:v>183</c:v>
                </c:pt>
                <c:pt idx="125">
                  <c:v>184</c:v>
                </c:pt>
                <c:pt idx="126">
                  <c:v>185</c:v>
                </c:pt>
                <c:pt idx="127">
                  <c:v>187</c:v>
                </c:pt>
                <c:pt idx="128">
                  <c:v>188</c:v>
                </c:pt>
                <c:pt idx="129">
                  <c:v>189</c:v>
                </c:pt>
                <c:pt idx="130">
                  <c:v>190</c:v>
                </c:pt>
                <c:pt idx="131">
                  <c:v>191</c:v>
                </c:pt>
                <c:pt idx="132">
                  <c:v>192</c:v>
                </c:pt>
                <c:pt idx="133">
                  <c:v>193</c:v>
                </c:pt>
                <c:pt idx="134">
                  <c:v>194</c:v>
                </c:pt>
                <c:pt idx="135">
                  <c:v>195</c:v>
                </c:pt>
                <c:pt idx="136">
                  <c:v>197</c:v>
                </c:pt>
                <c:pt idx="137">
                  <c:v>198</c:v>
                </c:pt>
                <c:pt idx="138">
                  <c:v>199</c:v>
                </c:pt>
                <c:pt idx="139">
                  <c:v>200</c:v>
                </c:pt>
                <c:pt idx="140">
                  <c:v>201</c:v>
                </c:pt>
                <c:pt idx="141">
                  <c:v>202</c:v>
                </c:pt>
                <c:pt idx="142">
                  <c:v>203</c:v>
                </c:pt>
                <c:pt idx="143">
                  <c:v>204</c:v>
                </c:pt>
                <c:pt idx="144">
                  <c:v>206</c:v>
                </c:pt>
                <c:pt idx="145">
                  <c:v>208</c:v>
                </c:pt>
                <c:pt idx="146">
                  <c:v>209</c:v>
                </c:pt>
                <c:pt idx="147">
                  <c:v>210</c:v>
                </c:pt>
                <c:pt idx="148">
                  <c:v>212</c:v>
                </c:pt>
                <c:pt idx="149">
                  <c:v>213</c:v>
                </c:pt>
                <c:pt idx="150">
                  <c:v>214</c:v>
                </c:pt>
                <c:pt idx="151">
                  <c:v>215</c:v>
                </c:pt>
                <c:pt idx="152">
                  <c:v>216</c:v>
                </c:pt>
                <c:pt idx="153">
                  <c:v>217</c:v>
                </c:pt>
                <c:pt idx="154">
                  <c:v>218</c:v>
                </c:pt>
                <c:pt idx="155">
                  <c:v>221</c:v>
                </c:pt>
                <c:pt idx="156">
                  <c:v>222</c:v>
                </c:pt>
                <c:pt idx="157">
                  <c:v>223</c:v>
                </c:pt>
                <c:pt idx="158">
                  <c:v>224</c:v>
                </c:pt>
                <c:pt idx="159">
                  <c:v>225</c:v>
                </c:pt>
                <c:pt idx="160">
                  <c:v>226</c:v>
                </c:pt>
                <c:pt idx="161">
                  <c:v>227</c:v>
                </c:pt>
                <c:pt idx="162">
                  <c:v>228</c:v>
                </c:pt>
                <c:pt idx="163">
                  <c:v>229</c:v>
                </c:pt>
                <c:pt idx="164">
                  <c:v>230</c:v>
                </c:pt>
                <c:pt idx="165">
                  <c:v>231</c:v>
                </c:pt>
                <c:pt idx="166">
                  <c:v>233</c:v>
                </c:pt>
                <c:pt idx="167">
                  <c:v>234</c:v>
                </c:pt>
                <c:pt idx="168">
                  <c:v>235</c:v>
                </c:pt>
                <c:pt idx="169">
                  <c:v>236</c:v>
                </c:pt>
                <c:pt idx="170">
                  <c:v>237</c:v>
                </c:pt>
                <c:pt idx="171">
                  <c:v>238</c:v>
                </c:pt>
                <c:pt idx="172">
                  <c:v>239</c:v>
                </c:pt>
                <c:pt idx="173">
                  <c:v>240</c:v>
                </c:pt>
                <c:pt idx="174">
                  <c:v>241</c:v>
                </c:pt>
                <c:pt idx="175">
                  <c:v>242</c:v>
                </c:pt>
                <c:pt idx="176">
                  <c:v>244</c:v>
                </c:pt>
                <c:pt idx="177">
                  <c:v>245</c:v>
                </c:pt>
                <c:pt idx="178">
                  <c:v>246</c:v>
                </c:pt>
                <c:pt idx="179">
                  <c:v>248</c:v>
                </c:pt>
                <c:pt idx="180">
                  <c:v>249</c:v>
                </c:pt>
                <c:pt idx="181">
                  <c:v>250</c:v>
                </c:pt>
                <c:pt idx="182">
                  <c:v>251</c:v>
                </c:pt>
                <c:pt idx="183">
                  <c:v>252</c:v>
                </c:pt>
                <c:pt idx="184">
                  <c:v>253</c:v>
                </c:pt>
                <c:pt idx="185">
                  <c:v>254</c:v>
                </c:pt>
                <c:pt idx="186">
                  <c:v>255</c:v>
                </c:pt>
                <c:pt idx="187">
                  <c:v>256</c:v>
                </c:pt>
                <c:pt idx="188">
                  <c:v>257</c:v>
                </c:pt>
                <c:pt idx="189">
                  <c:v>258</c:v>
                </c:pt>
                <c:pt idx="190">
                  <c:v>259</c:v>
                </c:pt>
                <c:pt idx="191">
                  <c:v>260</c:v>
                </c:pt>
                <c:pt idx="192">
                  <c:v>261</c:v>
                </c:pt>
                <c:pt idx="193">
                  <c:v>263</c:v>
                </c:pt>
                <c:pt idx="194">
                  <c:v>264</c:v>
                </c:pt>
                <c:pt idx="195">
                  <c:v>265</c:v>
                </c:pt>
                <c:pt idx="196">
                  <c:v>266</c:v>
                </c:pt>
                <c:pt idx="197">
                  <c:v>269</c:v>
                </c:pt>
                <c:pt idx="198">
                  <c:v>270</c:v>
                </c:pt>
                <c:pt idx="199">
                  <c:v>271</c:v>
                </c:pt>
                <c:pt idx="200">
                  <c:v>272</c:v>
                </c:pt>
                <c:pt idx="201">
                  <c:v>273</c:v>
                </c:pt>
                <c:pt idx="202">
                  <c:v>274</c:v>
                </c:pt>
                <c:pt idx="203">
                  <c:v>275</c:v>
                </c:pt>
                <c:pt idx="204">
                  <c:v>276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284</c:v>
                </c:pt>
                <c:pt idx="212">
                  <c:v>285</c:v>
                </c:pt>
                <c:pt idx="213">
                  <c:v>286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292</c:v>
                </c:pt>
                <c:pt idx="218">
                  <c:v>293</c:v>
                </c:pt>
                <c:pt idx="219">
                  <c:v>294</c:v>
                </c:pt>
                <c:pt idx="220">
                  <c:v>295</c:v>
                </c:pt>
                <c:pt idx="221">
                  <c:v>297</c:v>
                </c:pt>
                <c:pt idx="222">
                  <c:v>298</c:v>
                </c:pt>
                <c:pt idx="223">
                  <c:v>300</c:v>
                </c:pt>
              </c:numCache>
            </c:numRef>
          </c:xVal>
          <c:yVal>
            <c:numRef>
              <c:f>StarbucksData!$AR$32:$AR$255</c:f>
              <c:numCache>
                <c:formatCode>General</c:formatCode>
                <c:ptCount val="224"/>
                <c:pt idx="0">
                  <c:v>9812</c:v>
                </c:pt>
                <c:pt idx="1">
                  <c:v>2500</c:v>
                </c:pt>
                <c:pt idx="2">
                  <c:v>2030</c:v>
                </c:pt>
                <c:pt idx="3">
                  <c:v>12768</c:v>
                </c:pt>
                <c:pt idx="4">
                  <c:v>5548.5</c:v>
                </c:pt>
                <c:pt idx="5">
                  <c:v>12948</c:v>
                </c:pt>
                <c:pt idx="6">
                  <c:v>10967.6</c:v>
                </c:pt>
                <c:pt idx="7">
                  <c:v>11347</c:v>
                </c:pt>
                <c:pt idx="8">
                  <c:v>3527</c:v>
                </c:pt>
                <c:pt idx="9">
                  <c:v>4983.5</c:v>
                </c:pt>
                <c:pt idx="10">
                  <c:v>11044</c:v>
                </c:pt>
                <c:pt idx="11">
                  <c:v>17192</c:v>
                </c:pt>
                <c:pt idx="12">
                  <c:v>9766.5</c:v>
                </c:pt>
                <c:pt idx="13">
                  <c:v>4161</c:v>
                </c:pt>
                <c:pt idx="14">
                  <c:v>12044.666666666666</c:v>
                </c:pt>
                <c:pt idx="15">
                  <c:v>9284</c:v>
                </c:pt>
                <c:pt idx="16">
                  <c:v>10005</c:v>
                </c:pt>
                <c:pt idx="17">
                  <c:v>10933.25</c:v>
                </c:pt>
                <c:pt idx="18">
                  <c:v>6541</c:v>
                </c:pt>
                <c:pt idx="19">
                  <c:v>12240</c:v>
                </c:pt>
                <c:pt idx="20">
                  <c:v>9406</c:v>
                </c:pt>
                <c:pt idx="21">
                  <c:v>7202</c:v>
                </c:pt>
                <c:pt idx="22">
                  <c:v>13926</c:v>
                </c:pt>
                <c:pt idx="23">
                  <c:v>5415</c:v>
                </c:pt>
                <c:pt idx="24">
                  <c:v>14331.75</c:v>
                </c:pt>
                <c:pt idx="25">
                  <c:v>8170</c:v>
                </c:pt>
                <c:pt idx="26">
                  <c:v>11655.5</c:v>
                </c:pt>
                <c:pt idx="27">
                  <c:v>6173</c:v>
                </c:pt>
                <c:pt idx="28">
                  <c:v>3927</c:v>
                </c:pt>
                <c:pt idx="29">
                  <c:v>10012.5</c:v>
                </c:pt>
                <c:pt idx="30">
                  <c:v>9751.75</c:v>
                </c:pt>
                <c:pt idx="31">
                  <c:v>18156</c:v>
                </c:pt>
                <c:pt idx="32">
                  <c:v>17466</c:v>
                </c:pt>
                <c:pt idx="33">
                  <c:v>4945</c:v>
                </c:pt>
                <c:pt idx="34">
                  <c:v>9030.3333333333339</c:v>
                </c:pt>
                <c:pt idx="35">
                  <c:v>15186.5</c:v>
                </c:pt>
                <c:pt idx="36">
                  <c:v>9862</c:v>
                </c:pt>
                <c:pt idx="37">
                  <c:v>7531.5</c:v>
                </c:pt>
                <c:pt idx="38">
                  <c:v>4874.666666666667</c:v>
                </c:pt>
                <c:pt idx="39">
                  <c:v>9939.6666666666661</c:v>
                </c:pt>
                <c:pt idx="40">
                  <c:v>9412</c:v>
                </c:pt>
                <c:pt idx="41">
                  <c:v>4598</c:v>
                </c:pt>
                <c:pt idx="42">
                  <c:v>10510.5</c:v>
                </c:pt>
                <c:pt idx="43">
                  <c:v>9620</c:v>
                </c:pt>
                <c:pt idx="44">
                  <c:v>6161</c:v>
                </c:pt>
                <c:pt idx="45">
                  <c:v>12146.75</c:v>
                </c:pt>
                <c:pt idx="46">
                  <c:v>9990</c:v>
                </c:pt>
                <c:pt idx="47">
                  <c:v>4452</c:v>
                </c:pt>
                <c:pt idx="48">
                  <c:v>12294</c:v>
                </c:pt>
                <c:pt idx="49">
                  <c:v>10063.5</c:v>
                </c:pt>
                <c:pt idx="50">
                  <c:v>6276</c:v>
                </c:pt>
                <c:pt idx="51">
                  <c:v>8686</c:v>
                </c:pt>
                <c:pt idx="52">
                  <c:v>6791.5</c:v>
                </c:pt>
                <c:pt idx="53">
                  <c:v>9303.25</c:v>
                </c:pt>
                <c:pt idx="54">
                  <c:v>6046.5</c:v>
                </c:pt>
                <c:pt idx="55">
                  <c:v>9393</c:v>
                </c:pt>
                <c:pt idx="56">
                  <c:v>9031.5</c:v>
                </c:pt>
                <c:pt idx="57">
                  <c:v>12774</c:v>
                </c:pt>
                <c:pt idx="58">
                  <c:v>12472.666666666666</c:v>
                </c:pt>
                <c:pt idx="59">
                  <c:v>3264</c:v>
                </c:pt>
                <c:pt idx="60">
                  <c:v>15950</c:v>
                </c:pt>
                <c:pt idx="61">
                  <c:v>14197</c:v>
                </c:pt>
                <c:pt idx="62">
                  <c:v>4736</c:v>
                </c:pt>
                <c:pt idx="63">
                  <c:v>10428.666666666666</c:v>
                </c:pt>
                <c:pt idx="64">
                  <c:v>9531.4</c:v>
                </c:pt>
                <c:pt idx="65">
                  <c:v>20436</c:v>
                </c:pt>
                <c:pt idx="66">
                  <c:v>14074.5</c:v>
                </c:pt>
                <c:pt idx="67">
                  <c:v>13540</c:v>
                </c:pt>
                <c:pt idx="68">
                  <c:v>15022</c:v>
                </c:pt>
                <c:pt idx="69">
                  <c:v>6572</c:v>
                </c:pt>
                <c:pt idx="70">
                  <c:v>11741</c:v>
                </c:pt>
                <c:pt idx="71">
                  <c:v>11000</c:v>
                </c:pt>
                <c:pt idx="72">
                  <c:v>2796.5</c:v>
                </c:pt>
                <c:pt idx="73">
                  <c:v>10650</c:v>
                </c:pt>
                <c:pt idx="74">
                  <c:v>9882</c:v>
                </c:pt>
                <c:pt idx="75">
                  <c:v>1935</c:v>
                </c:pt>
                <c:pt idx="76">
                  <c:v>5487.666666666667</c:v>
                </c:pt>
                <c:pt idx="77">
                  <c:v>9519</c:v>
                </c:pt>
                <c:pt idx="78">
                  <c:v>8061</c:v>
                </c:pt>
                <c:pt idx="79">
                  <c:v>6582</c:v>
                </c:pt>
                <c:pt idx="80">
                  <c:v>5205.333333333333</c:v>
                </c:pt>
                <c:pt idx="81">
                  <c:v>11301.333333333334</c:v>
                </c:pt>
                <c:pt idx="82">
                  <c:v>11023.5</c:v>
                </c:pt>
                <c:pt idx="83">
                  <c:v>7314</c:v>
                </c:pt>
                <c:pt idx="84">
                  <c:v>7416</c:v>
                </c:pt>
                <c:pt idx="85">
                  <c:v>8098.666666666667</c:v>
                </c:pt>
                <c:pt idx="86">
                  <c:v>8532.75</c:v>
                </c:pt>
                <c:pt idx="87">
                  <c:v>6584</c:v>
                </c:pt>
                <c:pt idx="88">
                  <c:v>13268</c:v>
                </c:pt>
                <c:pt idx="89">
                  <c:v>1938</c:v>
                </c:pt>
                <c:pt idx="90">
                  <c:v>9516.6666666666661</c:v>
                </c:pt>
                <c:pt idx="91">
                  <c:v>20123.5</c:v>
                </c:pt>
                <c:pt idx="92">
                  <c:v>5096</c:v>
                </c:pt>
                <c:pt idx="93">
                  <c:v>3312</c:v>
                </c:pt>
                <c:pt idx="94">
                  <c:v>4763.5</c:v>
                </c:pt>
                <c:pt idx="95">
                  <c:v>4579.5</c:v>
                </c:pt>
                <c:pt idx="96">
                  <c:v>1694</c:v>
                </c:pt>
                <c:pt idx="97">
                  <c:v>15570</c:v>
                </c:pt>
                <c:pt idx="98">
                  <c:v>3756</c:v>
                </c:pt>
                <c:pt idx="99">
                  <c:v>8580</c:v>
                </c:pt>
                <c:pt idx="100">
                  <c:v>12234</c:v>
                </c:pt>
                <c:pt idx="101">
                  <c:v>6251.666666666667</c:v>
                </c:pt>
                <c:pt idx="102">
                  <c:v>9906.5</c:v>
                </c:pt>
                <c:pt idx="103">
                  <c:v>3648</c:v>
                </c:pt>
                <c:pt idx="104">
                  <c:v>11802</c:v>
                </c:pt>
                <c:pt idx="105">
                  <c:v>8080</c:v>
                </c:pt>
                <c:pt idx="106">
                  <c:v>6378.666666666667</c:v>
                </c:pt>
                <c:pt idx="107">
                  <c:v>18392</c:v>
                </c:pt>
                <c:pt idx="108">
                  <c:v>6102</c:v>
                </c:pt>
                <c:pt idx="109">
                  <c:v>4893</c:v>
                </c:pt>
                <c:pt idx="110">
                  <c:v>11940.5</c:v>
                </c:pt>
                <c:pt idx="111">
                  <c:v>8668.3333333333339</c:v>
                </c:pt>
                <c:pt idx="112">
                  <c:v>7467</c:v>
                </c:pt>
                <c:pt idx="113">
                  <c:v>2005</c:v>
                </c:pt>
                <c:pt idx="114">
                  <c:v>11917</c:v>
                </c:pt>
                <c:pt idx="115">
                  <c:v>9250.5</c:v>
                </c:pt>
                <c:pt idx="116">
                  <c:v>12660</c:v>
                </c:pt>
                <c:pt idx="117">
                  <c:v>3632</c:v>
                </c:pt>
                <c:pt idx="118">
                  <c:v>18535</c:v>
                </c:pt>
                <c:pt idx="119">
                  <c:v>17368</c:v>
                </c:pt>
                <c:pt idx="120">
                  <c:v>10048.799999999999</c:v>
                </c:pt>
                <c:pt idx="121">
                  <c:v>4672</c:v>
                </c:pt>
                <c:pt idx="122">
                  <c:v>7766</c:v>
                </c:pt>
                <c:pt idx="123">
                  <c:v>10199.666666666666</c:v>
                </c:pt>
                <c:pt idx="124">
                  <c:v>8566.5</c:v>
                </c:pt>
                <c:pt idx="125">
                  <c:v>5970</c:v>
                </c:pt>
                <c:pt idx="126">
                  <c:v>8689.75</c:v>
                </c:pt>
                <c:pt idx="127">
                  <c:v>14894.6</c:v>
                </c:pt>
                <c:pt idx="128">
                  <c:v>8370</c:v>
                </c:pt>
                <c:pt idx="129">
                  <c:v>12977</c:v>
                </c:pt>
                <c:pt idx="130">
                  <c:v>2964</c:v>
                </c:pt>
                <c:pt idx="131">
                  <c:v>6936.333333333333</c:v>
                </c:pt>
                <c:pt idx="132">
                  <c:v>12200</c:v>
                </c:pt>
                <c:pt idx="133">
                  <c:v>6174</c:v>
                </c:pt>
                <c:pt idx="134">
                  <c:v>15319.666666666666</c:v>
                </c:pt>
                <c:pt idx="135">
                  <c:v>13614.333333333334</c:v>
                </c:pt>
                <c:pt idx="136">
                  <c:v>4752</c:v>
                </c:pt>
                <c:pt idx="137">
                  <c:v>9064.6666666666661</c:v>
                </c:pt>
                <c:pt idx="138">
                  <c:v>10950</c:v>
                </c:pt>
                <c:pt idx="139">
                  <c:v>6916.5</c:v>
                </c:pt>
                <c:pt idx="140">
                  <c:v>7882.666666666667</c:v>
                </c:pt>
                <c:pt idx="141">
                  <c:v>11073.666666666666</c:v>
                </c:pt>
                <c:pt idx="142">
                  <c:v>9686.75</c:v>
                </c:pt>
                <c:pt idx="143">
                  <c:v>13500</c:v>
                </c:pt>
                <c:pt idx="144">
                  <c:v>10792</c:v>
                </c:pt>
                <c:pt idx="145">
                  <c:v>12829</c:v>
                </c:pt>
                <c:pt idx="146">
                  <c:v>17986</c:v>
                </c:pt>
                <c:pt idx="147">
                  <c:v>4202</c:v>
                </c:pt>
                <c:pt idx="148">
                  <c:v>11867</c:v>
                </c:pt>
                <c:pt idx="149">
                  <c:v>7958.666666666667</c:v>
                </c:pt>
                <c:pt idx="150">
                  <c:v>7623</c:v>
                </c:pt>
                <c:pt idx="151">
                  <c:v>12980</c:v>
                </c:pt>
                <c:pt idx="152">
                  <c:v>12989.333333333334</c:v>
                </c:pt>
                <c:pt idx="153">
                  <c:v>10817</c:v>
                </c:pt>
                <c:pt idx="154">
                  <c:v>9990</c:v>
                </c:pt>
                <c:pt idx="155">
                  <c:v>8418</c:v>
                </c:pt>
                <c:pt idx="156">
                  <c:v>10640</c:v>
                </c:pt>
                <c:pt idx="157">
                  <c:v>6470</c:v>
                </c:pt>
                <c:pt idx="158">
                  <c:v>6592</c:v>
                </c:pt>
                <c:pt idx="159">
                  <c:v>10908.5</c:v>
                </c:pt>
                <c:pt idx="160">
                  <c:v>12407.333333333334</c:v>
                </c:pt>
                <c:pt idx="161">
                  <c:v>8740</c:v>
                </c:pt>
                <c:pt idx="162">
                  <c:v>18270</c:v>
                </c:pt>
                <c:pt idx="163">
                  <c:v>11338.5</c:v>
                </c:pt>
                <c:pt idx="164">
                  <c:v>9238</c:v>
                </c:pt>
                <c:pt idx="165">
                  <c:v>2951</c:v>
                </c:pt>
                <c:pt idx="166">
                  <c:v>7675.5</c:v>
                </c:pt>
                <c:pt idx="167">
                  <c:v>7165.333333333333</c:v>
                </c:pt>
                <c:pt idx="168">
                  <c:v>16000</c:v>
                </c:pt>
                <c:pt idx="169">
                  <c:v>9588.3333333333339</c:v>
                </c:pt>
                <c:pt idx="170">
                  <c:v>17492.5</c:v>
                </c:pt>
                <c:pt idx="171">
                  <c:v>10867.666666666666</c:v>
                </c:pt>
                <c:pt idx="172">
                  <c:v>8542</c:v>
                </c:pt>
                <c:pt idx="173">
                  <c:v>14060</c:v>
                </c:pt>
                <c:pt idx="174">
                  <c:v>4730</c:v>
                </c:pt>
                <c:pt idx="175">
                  <c:v>2178</c:v>
                </c:pt>
                <c:pt idx="176">
                  <c:v>9012.5</c:v>
                </c:pt>
                <c:pt idx="177">
                  <c:v>2807</c:v>
                </c:pt>
                <c:pt idx="178">
                  <c:v>14769.4</c:v>
                </c:pt>
                <c:pt idx="179">
                  <c:v>11832</c:v>
                </c:pt>
                <c:pt idx="180">
                  <c:v>2392</c:v>
                </c:pt>
                <c:pt idx="181">
                  <c:v>12975.75</c:v>
                </c:pt>
                <c:pt idx="182">
                  <c:v>3420</c:v>
                </c:pt>
                <c:pt idx="183">
                  <c:v>13284</c:v>
                </c:pt>
                <c:pt idx="184">
                  <c:v>9543.3333333333339</c:v>
                </c:pt>
                <c:pt idx="185">
                  <c:v>3208</c:v>
                </c:pt>
                <c:pt idx="186">
                  <c:v>10133</c:v>
                </c:pt>
                <c:pt idx="187">
                  <c:v>9591</c:v>
                </c:pt>
                <c:pt idx="188">
                  <c:v>10819</c:v>
                </c:pt>
                <c:pt idx="189">
                  <c:v>15593.5</c:v>
                </c:pt>
                <c:pt idx="190">
                  <c:v>9041.5</c:v>
                </c:pt>
                <c:pt idx="191">
                  <c:v>14644.5</c:v>
                </c:pt>
                <c:pt idx="192">
                  <c:v>17499</c:v>
                </c:pt>
                <c:pt idx="193">
                  <c:v>7845.333333333333</c:v>
                </c:pt>
                <c:pt idx="194">
                  <c:v>6512</c:v>
                </c:pt>
                <c:pt idx="195">
                  <c:v>15780</c:v>
                </c:pt>
                <c:pt idx="196">
                  <c:v>8250</c:v>
                </c:pt>
                <c:pt idx="197">
                  <c:v>9009</c:v>
                </c:pt>
                <c:pt idx="198">
                  <c:v>7787.5</c:v>
                </c:pt>
                <c:pt idx="199">
                  <c:v>9838.6666666666661</c:v>
                </c:pt>
                <c:pt idx="200">
                  <c:v>5106</c:v>
                </c:pt>
                <c:pt idx="201">
                  <c:v>8572.25</c:v>
                </c:pt>
                <c:pt idx="202">
                  <c:v>13052.75</c:v>
                </c:pt>
                <c:pt idx="203">
                  <c:v>9854</c:v>
                </c:pt>
                <c:pt idx="204">
                  <c:v>8694</c:v>
                </c:pt>
                <c:pt idx="205">
                  <c:v>9596</c:v>
                </c:pt>
                <c:pt idx="206">
                  <c:v>12906.333333333334</c:v>
                </c:pt>
                <c:pt idx="207">
                  <c:v>10791.666666666666</c:v>
                </c:pt>
                <c:pt idx="208">
                  <c:v>8692</c:v>
                </c:pt>
                <c:pt idx="209">
                  <c:v>6640</c:v>
                </c:pt>
                <c:pt idx="210">
                  <c:v>16642</c:v>
                </c:pt>
                <c:pt idx="211">
                  <c:v>10581.8</c:v>
                </c:pt>
                <c:pt idx="212">
                  <c:v>14410</c:v>
                </c:pt>
                <c:pt idx="213">
                  <c:v>3055</c:v>
                </c:pt>
                <c:pt idx="214">
                  <c:v>19342</c:v>
                </c:pt>
                <c:pt idx="215">
                  <c:v>8541.5</c:v>
                </c:pt>
                <c:pt idx="216">
                  <c:v>4180</c:v>
                </c:pt>
                <c:pt idx="217">
                  <c:v>6903.333333333333</c:v>
                </c:pt>
                <c:pt idx="218">
                  <c:v>12026.25</c:v>
                </c:pt>
                <c:pt idx="219">
                  <c:v>7835</c:v>
                </c:pt>
                <c:pt idx="220">
                  <c:v>17130.75</c:v>
                </c:pt>
                <c:pt idx="221">
                  <c:v>15524</c:v>
                </c:pt>
                <c:pt idx="222">
                  <c:v>8976.6666666666661</c:v>
                </c:pt>
                <c:pt idx="223">
                  <c:v>6919.5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F-4381-BEA3-E5B2917F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839984"/>
        <c:axId val="1686844304"/>
      </c:scatterChart>
      <c:valAx>
        <c:axId val="168683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44304"/>
        <c:crosses val="autoZero"/>
        <c:crossBetween val="midCat"/>
      </c:valAx>
      <c:valAx>
        <c:axId val="16868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3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198782</xdr:colOff>
      <xdr:row>0</xdr:row>
      <xdr:rowOff>8283</xdr:rowOff>
    </xdr:from>
    <xdr:to>
      <xdr:col>62</xdr:col>
      <xdr:colOff>24848</xdr:colOff>
      <xdr:row>15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5F5AD-8250-CD85-2217-89E4467CC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309562</xdr:colOff>
      <xdr:row>15</xdr:row>
      <xdr:rowOff>99598</xdr:rowOff>
    </xdr:from>
    <xdr:to>
      <xdr:col>61</xdr:col>
      <xdr:colOff>309562</xdr:colOff>
      <xdr:row>30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FEDD81-551D-9AE4-6F71-7C7FD190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86002</xdr:colOff>
      <xdr:row>31</xdr:row>
      <xdr:rowOff>163671</xdr:rowOff>
    </xdr:from>
    <xdr:to>
      <xdr:col>63</xdr:col>
      <xdr:colOff>94615</xdr:colOff>
      <xdr:row>47</xdr:row>
      <xdr:rowOff>41519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D3707F-1C12-FD97-A470-08C32F731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194553</xdr:colOff>
      <xdr:row>27</xdr:row>
      <xdr:rowOff>152400</xdr:rowOff>
    </xdr:from>
    <xdr:to>
      <xdr:col>46</xdr:col>
      <xdr:colOff>1305127</xdr:colOff>
      <xdr:row>42</xdr:row>
      <xdr:rowOff>98898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9897A8-58DF-A999-5CF9-0D8295AFB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" refreshedDate="46233.455755324074" createdVersion="8" refreshedVersion="8" minRefreshableVersion="3" recordCount="500" xr:uid="{2BA624D4-FB63-4E9E-BE26-D911B4F6264B}">
  <cacheSource type="worksheet">
    <worksheetSource name="Table1"/>
  </cacheSource>
  <cacheFields count="30">
    <cacheField name="Store ID" numFmtId="0">
      <sharedItems containsSemiMixedTypes="0" containsString="0" containsNumber="1" containsInteger="1" minValue="1000" maxValue="1499"/>
    </cacheField>
    <cacheField name="Store Name" numFmtId="0">
      <sharedItems/>
    </cacheField>
    <cacheField name="Country" numFmtId="0">
      <sharedItems/>
    </cacheField>
    <cacheField name="State" numFmtId="0">
      <sharedItems count="5">
        <s v="Karnataka"/>
        <s v="Delhi"/>
        <s v="Maharashtra"/>
        <s v="Tamil Nadu"/>
        <s v="Kerala"/>
      </sharedItems>
    </cacheField>
    <cacheField name="City" numFmtId="0">
      <sharedItems/>
    </cacheField>
    <cacheField name="Region" numFmtId="0">
      <sharedItems/>
    </cacheField>
    <cacheField name="Date" numFmtId="164">
      <sharedItems containsSemiMixedTypes="0" containsNonDate="0" containsDate="1" containsString="0" minDate="2026-01-01T00:00:00" maxDate="2026-07-01T00:00:00" count="165">
        <d v="2026-02-28T00:00:00"/>
        <d v="2026-01-24T00:00:00"/>
        <d v="2026-05-11T00:00:00"/>
        <d v="2026-01-12T00:00:00"/>
        <d v="2026-02-25T00:00:00"/>
        <d v="2026-01-27T00:00:00"/>
        <d v="2026-06-08T00:00:00"/>
        <d v="2026-03-23T00:00:00"/>
        <d v="2026-04-18T00:00:00"/>
        <d v="2026-06-24T00:00:00"/>
        <d v="2026-03-10T00:00:00"/>
        <d v="2026-02-15T00:00:00"/>
        <d v="2026-03-07T00:00:00"/>
        <d v="2026-03-28T00:00:00"/>
        <d v="2026-04-17T00:00:00"/>
        <d v="2026-06-10T00:00:00"/>
        <d v="2026-02-23T00:00:00"/>
        <d v="2026-02-05T00:00:00"/>
        <d v="2026-01-11T00:00:00"/>
        <d v="2026-05-09T00:00:00"/>
        <d v="2026-02-24T00:00:00"/>
        <d v="2026-03-29T00:00:00"/>
        <d v="2026-05-07T00:00:00"/>
        <d v="2026-02-26T00:00:00"/>
        <d v="2026-03-30T00:00:00"/>
        <d v="2026-05-21T00:00:00"/>
        <d v="2026-02-19T00:00:00"/>
        <d v="2026-01-18T00:00:00"/>
        <d v="2026-05-27T00:00:00"/>
        <d v="2026-05-22T00:00:00"/>
        <d v="2026-04-23T00:00:00"/>
        <d v="2026-06-15T00:00:00"/>
        <d v="2026-01-20T00:00:00"/>
        <d v="2026-04-30T00:00:00"/>
        <d v="2026-02-14T00:00:00"/>
        <d v="2026-01-07T00:00:00"/>
        <d v="2026-06-03T00:00:00"/>
        <d v="2026-05-29T00:00:00"/>
        <d v="2026-04-08T00:00:00"/>
        <d v="2026-03-01T00:00:00"/>
        <d v="2026-06-28T00:00:00"/>
        <d v="2026-05-15T00:00:00"/>
        <d v="2026-06-23T00:00:00"/>
        <d v="2026-05-01T00:00:00"/>
        <d v="2026-02-13T00:00:00"/>
        <d v="2026-06-25T00:00:00"/>
        <d v="2026-01-19T00:00:00"/>
        <d v="2026-05-08T00:00:00"/>
        <d v="2026-06-01T00:00:00"/>
        <d v="2026-04-24T00:00:00"/>
        <d v="2026-05-16T00:00:00"/>
        <d v="2026-05-05T00:00:00"/>
        <d v="2026-04-15T00:00:00"/>
        <d v="2026-03-02T00:00:00"/>
        <d v="2026-04-09T00:00:00"/>
        <d v="2026-04-03T00:00:00"/>
        <d v="2026-03-06T00:00:00"/>
        <d v="2026-05-18T00:00:00"/>
        <d v="2026-04-16T00:00:00"/>
        <d v="2026-02-12T00:00:00"/>
        <d v="2026-03-25T00:00:00"/>
        <d v="2026-01-05T00:00:00"/>
        <d v="2026-06-17T00:00:00"/>
        <d v="2026-03-13T00:00:00"/>
        <d v="2026-02-18T00:00:00"/>
        <d v="2026-06-27T00:00:00"/>
        <d v="2026-06-09T00:00:00"/>
        <d v="2026-02-20T00:00:00"/>
        <d v="2026-02-01T00:00:00"/>
        <d v="2026-06-18T00:00:00"/>
        <d v="2026-06-20T00:00:00"/>
        <d v="2026-05-03T00:00:00"/>
        <d v="2026-01-22T00:00:00"/>
        <d v="2026-04-20T00:00:00"/>
        <d v="2026-04-11T00:00:00"/>
        <d v="2026-03-03T00:00:00"/>
        <d v="2026-05-17T00:00:00"/>
        <d v="2026-02-07T00:00:00"/>
        <d v="2026-05-24T00:00:00"/>
        <d v="2026-06-19T00:00:00"/>
        <d v="2026-02-10T00:00:00"/>
        <d v="2026-04-28T00:00:00"/>
        <d v="2026-06-05T00:00:00"/>
        <d v="2026-02-04T00:00:00"/>
        <d v="2026-04-13T00:00:00"/>
        <d v="2026-06-22T00:00:00"/>
        <d v="2026-04-14T00:00:00"/>
        <d v="2026-03-12T00:00:00"/>
        <d v="2026-05-20T00:00:00"/>
        <d v="2026-05-02T00:00:00"/>
        <d v="2026-04-12T00:00:00"/>
        <d v="2026-06-14T00:00:00"/>
        <d v="2026-05-26T00:00:00"/>
        <d v="2026-03-22T00:00:00"/>
        <d v="2026-02-06T00:00:00"/>
        <d v="2026-05-12T00:00:00"/>
        <d v="2026-01-21T00:00:00"/>
        <d v="2026-02-21T00:00:00"/>
        <d v="2026-04-10T00:00:00"/>
        <d v="2026-06-30T00:00:00"/>
        <d v="2026-06-02T00:00:00"/>
        <d v="2026-06-11T00:00:00"/>
        <d v="2026-03-20T00:00:00"/>
        <d v="2026-03-11T00:00:00"/>
        <d v="2026-05-30T00:00:00"/>
        <d v="2026-03-08T00:00:00"/>
        <d v="2026-01-09T00:00:00"/>
        <d v="2026-01-29T00:00:00"/>
        <d v="2026-03-24T00:00:00"/>
        <d v="2026-01-14T00:00:00"/>
        <d v="2026-03-27T00:00:00"/>
        <d v="2026-04-25T00:00:00"/>
        <d v="2026-01-31T00:00:00"/>
        <d v="2026-02-03T00:00:00"/>
        <d v="2026-06-26T00:00:00"/>
        <d v="2026-04-19T00:00:00"/>
        <d v="2026-03-19T00:00:00"/>
        <d v="2026-02-02T00:00:00"/>
        <d v="2026-02-22T00:00:00"/>
        <d v="2026-06-12T00:00:00"/>
        <d v="2026-04-21T00:00:00"/>
        <d v="2026-01-16T00:00:00"/>
        <d v="2026-04-02T00:00:00"/>
        <d v="2026-03-05T00:00:00"/>
        <d v="2026-06-06T00:00:00"/>
        <d v="2026-01-25T00:00:00"/>
        <d v="2026-03-31T00:00:00"/>
        <d v="2026-04-27T00:00:00"/>
        <d v="2026-01-26T00:00:00"/>
        <d v="2026-01-17T00:00:00"/>
        <d v="2026-03-09T00:00:00"/>
        <d v="2026-05-31T00:00:00"/>
        <d v="2026-02-09T00:00:00"/>
        <d v="2026-01-30T00:00:00"/>
        <d v="2026-03-04T00:00:00"/>
        <d v="2026-02-16T00:00:00"/>
        <d v="2026-01-23T00:00:00"/>
        <d v="2026-05-04T00:00:00"/>
        <d v="2026-03-21T00:00:00"/>
        <d v="2026-03-17T00:00:00"/>
        <d v="2026-01-15T00:00:00"/>
        <d v="2026-05-10T00:00:00"/>
        <d v="2026-04-04T00:00:00"/>
        <d v="2026-03-14T00:00:00"/>
        <d v="2026-04-07T00:00:00"/>
        <d v="2026-01-01T00:00:00"/>
        <d v="2026-04-29T00:00:00"/>
        <d v="2026-05-14T00:00:00"/>
        <d v="2026-04-26T00:00:00"/>
        <d v="2026-01-10T00:00:00"/>
        <d v="2026-01-02T00:00:00"/>
        <d v="2026-05-25T00:00:00"/>
        <d v="2026-05-13T00:00:00"/>
        <d v="2026-04-05T00:00:00"/>
        <d v="2026-04-06T00:00:00"/>
        <d v="2026-03-15T00:00:00"/>
        <d v="2026-06-21T00:00:00"/>
        <d v="2026-01-06T00:00:00"/>
        <d v="2026-01-28T00:00:00"/>
        <d v="2026-06-16T00:00:00"/>
        <d v="2026-03-26T00:00:00"/>
        <d v="2026-05-28T00:00:00"/>
        <d v="2026-01-13T00:00:00"/>
        <d v="2026-05-06T00:00:00"/>
        <d v="2026-02-08T00:00:00"/>
      </sharedItems>
      <fieldGroup par="29"/>
    </cacheField>
    <cacheField name="Month" numFmtId="0">
      <sharedItems count="6">
        <s v="February"/>
        <s v="January"/>
        <s v="May"/>
        <s v="June"/>
        <s v="March"/>
        <s v="April"/>
      </sharedItems>
    </cacheField>
    <cacheField name="Product Category" numFmtId="0">
      <sharedItems count="4">
        <s v="Coffee"/>
        <s v="Bakery"/>
        <s v="Tea"/>
        <s v="Beverage"/>
      </sharedItems>
    </cacheField>
    <cacheField name="Product Name" numFmtId="0">
      <sharedItems count="9">
        <s v="Latte"/>
        <s v="Cappuccino"/>
        <s v="Muffin"/>
        <s v="Chai"/>
        <s v="Green Tea"/>
        <s v="Espresso"/>
        <s v="Cold Brew"/>
        <s v="Frappuccino"/>
        <s v="Croissant"/>
      </sharedItems>
    </cacheField>
    <cacheField name="Salesperson" numFmtId="0">
      <sharedItems/>
    </cacheField>
    <cacheField name="Units Sold" numFmtId="0">
      <sharedItems containsSemiMixedTypes="0" containsString="0" containsNumber="1" containsInteger="1" minValue="5" maxValue="60"/>
    </cacheField>
    <cacheField name="Sales Amount" numFmtId="0">
      <sharedItems containsSemiMixedTypes="0" containsString="0" containsNumber="1" containsInteger="1" minValue="1045" maxValue="23760" count="478">
        <n v="13950"/>
        <n v="8029"/>
        <n v="11220"/>
        <n v="10742"/>
        <n v="7314"/>
        <n v="12000"/>
        <n v="16560"/>
        <n v="4736"/>
        <n v="11610"/>
        <n v="11780"/>
        <n v="6541"/>
        <n v="1834"/>
        <n v="11680"/>
        <n v="14555"/>
        <n v="1785"/>
        <n v="7500"/>
        <n v="4272"/>
        <n v="17192"/>
        <n v="6650"/>
        <n v="2401"/>
        <n v="14070"/>
        <n v="15147"/>
        <n v="12240"/>
        <n v="4161"/>
        <n v="3927"/>
        <n v="2547"/>
        <n v="13284"/>
        <n v="8080"/>
        <n v="8954"/>
        <n v="6014"/>
        <n v="10678"/>
        <n v="3055"/>
        <n v="14319"/>
        <n v="5516"/>
        <n v="16006"/>
        <n v="6467"/>
        <n v="2344"/>
        <n v="6102"/>
        <n v="11000"/>
        <n v="7456"/>
        <n v="2030"/>
        <n v="8897"/>
        <n v="16029"/>
        <n v="22686"/>
        <n v="9432"/>
        <n v="8711"/>
        <n v="4202"/>
        <n v="11025"/>
        <n v="8702"/>
        <n v="8421"/>
        <n v="14934"/>
        <n v="13392"/>
        <n v="5684"/>
        <n v="12720"/>
        <n v="1372"/>
        <n v="2664"/>
        <n v="12390"/>
        <n v="2792"/>
        <n v="5850"/>
        <n v="11616"/>
        <n v="12597"/>
        <n v="10640"/>
        <n v="8604"/>
        <n v="3392"/>
        <n v="1719"/>
        <n v="18020"/>
        <n v="4246"/>
        <n v="1701"/>
        <n v="11121"/>
        <n v="14168"/>
        <n v="18270"/>
        <n v="9975"/>
        <n v="10664"/>
        <n v="3969"/>
        <n v="9906"/>
        <n v="21450"/>
        <n v="1600"/>
        <n v="3300"/>
        <n v="22980"/>
        <n v="2133"/>
        <n v="6534"/>
        <n v="10602"/>
        <n v="8155"/>
        <n v="7585"/>
        <n v="7467"/>
        <n v="17496"/>
        <n v="10933"/>
        <n v="4452"/>
        <n v="9338"/>
        <n v="8976"/>
        <n v="14145"/>
        <n v="18780"/>
        <n v="1386"/>
        <n v="9639"/>
        <n v="12741"/>
        <n v="17888"/>
        <n v="15656"/>
        <n v="7416"/>
        <n v="7866"/>
        <n v="15120"/>
        <n v="2964"/>
        <n v="12903"/>
        <n v="17499"/>
        <n v="5325"/>
        <n v="9342"/>
        <n v="18315"/>
        <n v="4860"/>
        <n v="4794"/>
        <n v="6015"/>
        <n v="12909"/>
        <n v="12648"/>
        <n v="16578"/>
        <n v="9238"/>
        <n v="1590"/>
        <n v="11988"/>
        <n v="3443"/>
        <n v="10215"/>
        <n v="5662"/>
        <n v="15092"/>
        <n v="9042"/>
        <n v="14060"/>
        <n v="18392"/>
        <n v="12506"/>
        <n v="13728"/>
        <n v="22605"/>
        <n v="8358"/>
        <n v="4752"/>
        <n v="10854"/>
        <n v="2532"/>
        <n v="13554"/>
        <n v="18816"/>
        <n v="10370"/>
        <n v="3480"/>
        <n v="4515"/>
        <n v="10792"/>
        <n v="2920"/>
        <n v="3510"/>
        <n v="15240"/>
        <n v="15176"/>
        <n v="2951"/>
        <n v="15022"/>
        <n v="9568"/>
        <n v="8580"/>
        <n v="7317"/>
        <n v="11935"/>
        <n v="8865"/>
        <n v="9990"/>
        <n v="14520"/>
        <n v="18571"/>
        <n v="4381"/>
        <n v="1700"/>
        <n v="13617"/>
        <n v="13938"/>
        <n v="2470"/>
        <n v="13583"/>
        <n v="16020"/>
        <n v="10819"/>
        <n v="16245"/>
        <n v="13482"/>
        <n v="3632"/>
        <n v="14220"/>
        <n v="14763"/>
        <n v="9348"/>
        <n v="13150"/>
        <n v="9620"/>
        <n v="5600"/>
        <n v="11644"/>
        <n v="17286"/>
        <n v="13708"/>
        <n v="9600"/>
        <n v="9984"/>
        <n v="8100"/>
        <n v="2178"/>
        <n v="14448"/>
        <n v="4030"/>
        <n v="13902"/>
        <n v="5865"/>
        <n v="7194"/>
        <n v="6630"/>
        <n v="20580"/>
        <n v="17986"/>
        <n v="8720"/>
        <n v="9728"/>
        <n v="5112"/>
        <n v="8425"/>
        <n v="15476"/>
        <n v="19500"/>
        <n v="15700"/>
        <n v="12046"/>
        <n v="19980"/>
        <n v="2660"/>
        <n v="10304"/>
        <n v="13685"/>
        <n v="14100"/>
        <n v="2500"/>
        <n v="12455"/>
        <n v="21560"/>
        <n v="12282"/>
        <n v="5590"/>
        <n v="4213"/>
        <n v="11375"/>
        <n v="8694"/>
        <n v="7112"/>
        <n v="7743"/>
        <n v="9284"/>
        <n v="7380"/>
        <n v="11340"/>
        <n v="13440"/>
        <n v="12870"/>
        <n v="10047"/>
        <n v="6919"/>
        <n v="2055"/>
        <n v="6615"/>
        <n v="7436"/>
        <n v="14465"/>
        <n v="7598"/>
        <n v="14040"/>
        <n v="7074"/>
        <n v="12462"/>
        <n v="2780"/>
        <n v="4136"/>
        <n v="3591"/>
        <n v="4598"/>
        <n v="3990"/>
        <n v="17550"/>
        <n v="7680"/>
        <n v="23760"/>
        <n v="9548"/>
        <n v="7056"/>
        <n v="20577"/>
        <n v="14612"/>
        <n v="8626"/>
        <n v="3084"/>
        <n v="1100"/>
        <n v="5984"/>
        <n v="4928"/>
        <n v="11172"/>
        <n v="4384"/>
        <n v="21900"/>
        <n v="10754"/>
        <n v="6975"/>
        <n v="1421"/>
        <n v="12768"/>
        <n v="6974"/>
        <n v="17368"/>
        <n v="15522"/>
        <n v="11750"/>
        <n v="1912"/>
        <n v="18984"/>
        <n v="4740"/>
        <n v="15171"/>
        <n v="3672"/>
        <n v="19600"/>
        <n v="1350"/>
        <n v="4893"/>
        <n v="5096"/>
        <n v="2016"/>
        <n v="4284"/>
        <n v="14094"/>
        <n v="6960"/>
        <n v="11984"/>
        <n v="20706"/>
        <n v="5168"/>
        <n v="4579"/>
        <n v="21476"/>
        <n v="2208"/>
        <n v="7006"/>
        <n v="3270"/>
        <n v="4771"/>
        <n v="12200"/>
        <n v="6528"/>
        <n v="6720"/>
        <n v="9393"/>
        <n v="8415"/>
        <n v="3465"/>
        <n v="5430"/>
        <n v="11250"/>
        <n v="12608"/>
        <n v="5790"/>
        <n v="2005"/>
        <n v="2770"/>
        <n v="14893"/>
        <n v="6992"/>
        <n v="12307"/>
        <n v="11210"/>
        <n v="8541"/>
        <n v="14478"/>
        <n v="11741"/>
        <n v="23427"/>
        <n v="1694"/>
        <n v="4180"/>
        <n v="22656"/>
        <n v="12642"/>
        <n v="1360"/>
        <n v="11736"/>
        <n v="10412"/>
        <n v="2304"/>
        <n v="6592"/>
        <n v="6760"/>
        <n v="15132"/>
        <n v="18156"/>
        <n v="9854"/>
        <n v="12788"/>
        <n v="10438"/>
        <n v="3667"/>
        <n v="5833"/>
        <n v="13248"/>
        <n v="15780"/>
        <n v="11460"/>
        <n v="17591"/>
        <n v="7800"/>
        <n v="7750"/>
        <n v="5740"/>
        <n v="9065"/>
        <n v="17119"/>
        <n v="14352"/>
        <n v="10296"/>
        <n v="10863"/>
        <n v="8904"/>
        <n v="2136"/>
        <n v="10410"/>
        <n v="19437"/>
        <n v="18411"/>
        <n v="23606"/>
        <n v="6935"/>
        <n v="11832"/>
        <n v="16284"/>
        <n v="17264"/>
        <n v="5336"/>
        <n v="16967"/>
        <n v="10050"/>
        <n v="10322"/>
        <n v="10530"/>
        <n v="2807"/>
        <n v="11448"/>
        <n v="13053"/>
        <n v="9477"/>
        <n v="7155"/>
        <n v="10726"/>
        <n v="9593"/>
        <n v="10665"/>
        <n v="13801"/>
        <n v="15093"/>
        <n v="1935"/>
        <n v="7272"/>
        <n v="7623"/>
        <n v="2784"/>
        <n v="8170"/>
        <n v="1808"/>
        <n v="18000"/>
        <n v="14964"/>
        <n v="10450"/>
        <n v="14080"/>
        <n v="4000"/>
        <n v="12177"/>
        <n v="9504"/>
        <n v="17920"/>
        <n v="13240"/>
        <n v="10132"/>
        <n v="15950"/>
        <n v="5415"/>
        <n v="17775"/>
        <n v="4537"/>
        <n v="2332"/>
        <n v="13630"/>
        <n v="6303"/>
        <n v="5940"/>
        <n v="1920"/>
        <n v="12660"/>
        <n v="9700"/>
        <n v="18148"/>
        <n v="1665"/>
        <n v="16815"/>
        <n v="10500"/>
        <n v="1045"/>
        <n v="12948"/>
        <n v="7308"/>
        <n v="11076"/>
        <n v="12190"/>
        <n v="5754"/>
        <n v="9412"/>
        <n v="8925"/>
        <n v="3864"/>
        <n v="4116"/>
        <n v="8343"/>
        <n v="7520"/>
        <n v="22620"/>
        <n v="20436"/>
        <n v="2891"/>
        <n v="4074"/>
        <n v="12980"/>
        <n v="7936"/>
        <n v="8250"/>
        <n v="11562"/>
        <n v="20412"/>
        <n v="22302"/>
        <n v="8967"/>
        <n v="3312"/>
        <n v="3208"/>
        <n v="9180"/>
        <n v="6380"/>
        <n v="9009"/>
        <n v="6880"/>
        <n v="1995"/>
        <n v="17995"/>
        <n v="13508"/>
        <n v="9222"/>
        <n v="7961"/>
        <n v="2496"/>
        <n v="3192"/>
        <n v="17600"/>
        <n v="1380"/>
        <n v="2592"/>
        <n v="17556"/>
        <n v="1985"/>
        <n v="5525"/>
        <n v="17632"/>
        <n v="10368"/>
        <n v="5900"/>
        <n v="2737"/>
        <n v="5148"/>
        <n v="12878"/>
        <n v="11456"/>
        <n v="15351"/>
        <n v="2933"/>
        <n v="8679"/>
        <n v="3920"/>
        <n v="2392"/>
        <n v="16598"/>
        <n v="3648"/>
        <n v="11968"/>
        <n v="8740"/>
        <n v="22597"/>
        <n v="13216"/>
        <n v="17416"/>
        <n v="6789"/>
        <n v="18535"/>
        <n v="11388"/>
        <n v="3237"/>
        <n v="11580"/>
        <n v="7774"/>
        <n v="12845"/>
        <n v="10527"/>
        <n v="11696"/>
        <n v="8032"/>
        <n v="3341"/>
        <n v="21168"/>
        <n v="5020"/>
        <n v="13448"/>
        <n v="3944"/>
        <n v="11376"/>
        <n v="10817"/>
        <n v="12032"/>
        <n v="8536"/>
        <n v="9672"/>
        <n v="15255"/>
        <n v="9537"/>
        <n v="6878"/>
        <n v="14410"/>
        <n v="14404"/>
        <n v="6048"/>
        <n v="10950"/>
        <n v="12064"/>
        <n v="12272"/>
        <n v="3360"/>
        <n v="10688"/>
        <n v="3420"/>
        <n v="1965"/>
        <n v="14573"/>
        <n v="16000"/>
        <n v="7020"/>
        <n v="11500"/>
        <n v="10878"/>
        <n v="13800"/>
        <n v="11565"/>
        <n v="5454"/>
        <n v="9024"/>
        <n v="8330"/>
      </sharedItems>
    </cacheField>
    <cacheField name="Cost" numFmtId="0">
      <sharedItems containsSemiMixedTypes="0" containsString="0" containsNumber="1" minValue="763.97" maxValue="17040.25"/>
    </cacheField>
    <cacheField name="Profit" numFmtId="0">
      <sharedItems containsSemiMixedTypes="0" containsString="0" containsNumber="1" minValue="218.06" maxValue="9655.8700000000008"/>
    </cacheField>
    <cacheField name="Customer Visits" numFmtId="0">
      <sharedItems containsSemiMixedTypes="0" containsString="0" containsNumber="1" containsInteger="1" minValue="40" maxValue="300" count="224">
        <n v="76"/>
        <n v="187"/>
        <n v="99"/>
        <n v="133"/>
        <n v="221"/>
        <n v="289"/>
        <n v="110"/>
        <n v="226"/>
        <n v="259"/>
        <n v="59"/>
        <n v="239"/>
        <n v="282"/>
        <n v="203"/>
        <n v="81"/>
        <n v="233"/>
        <n v="62"/>
        <n v="51"/>
        <n v="139"/>
        <n v="57"/>
        <n v="214"/>
        <n v="185"/>
        <n v="225"/>
        <n v="158"/>
        <n v="53"/>
        <n v="70"/>
        <n v="255"/>
        <n v="252"/>
        <n v="161"/>
        <n v="90"/>
        <n v="286"/>
        <n v="229"/>
        <n v="180"/>
        <n v="49"/>
        <n v="164"/>
        <n v="121"/>
        <n v="277"/>
        <n v="52"/>
        <n v="132"/>
        <n v="189"/>
        <n v="297"/>
        <n v="157"/>
        <n v="210"/>
        <n v="124"/>
        <n v="204"/>
        <n v="256"/>
        <n v="160"/>
        <n v="177"/>
        <n v="149"/>
        <n v="144"/>
        <n v="198"/>
        <n v="294"/>
        <n v="96"/>
        <n v="127"/>
        <n v="222"/>
        <n v="200"/>
        <n v="188"/>
        <n v="130"/>
        <n v="113"/>
        <n v="169"/>
        <n v="172"/>
        <n v="106"/>
        <n v="228"/>
        <n v="71"/>
        <n v="223"/>
        <n v="104"/>
        <n v="283"/>
        <n v="128"/>
        <n v="300"/>
        <n v="183"/>
        <n v="274"/>
        <n v="102"/>
        <n v="94"/>
        <n v="72"/>
        <n v="284"/>
        <n v="101"/>
        <n v="263"/>
        <n v="153"/>
        <n v="77"/>
        <n v="281"/>
        <n v="134"/>
        <n v="184"/>
        <n v="190"/>
        <n v="213"/>
        <n v="261"/>
        <n v="61"/>
        <n v="236"/>
        <n v="63"/>
        <n v="181"/>
        <n v="234"/>
        <n v="46"/>
        <n v="230"/>
        <n v="42"/>
        <n v="117"/>
        <n v="298"/>
        <n v="44"/>
        <n v="279"/>
        <n v="240"/>
        <n v="163"/>
        <n v="166"/>
        <n v="197"/>
        <n v="168"/>
        <n v="50"/>
        <n v="191"/>
        <n v="206"/>
        <n v="40"/>
        <n v="231"/>
        <n v="118"/>
        <n v="193"/>
        <n v="155"/>
        <n v="123"/>
        <n v="218"/>
        <n v="201"/>
        <n v="68"/>
        <n v="58"/>
        <n v="140"/>
        <n v="212"/>
        <n v="260"/>
        <n v="273"/>
        <n v="257"/>
        <n v="78"/>
        <n v="174"/>
        <n v="95"/>
        <n v="98"/>
        <n v="87"/>
        <n v="154"/>
        <n v="171"/>
        <n v="115"/>
        <n v="244"/>
        <n v="54"/>
        <n v="242"/>
        <n v="208"/>
        <n v="241"/>
        <n v="151"/>
        <n v="253"/>
        <n v="209"/>
        <n v="129"/>
        <n v="137"/>
        <n v="216"/>
        <n v="105"/>
        <n v="131"/>
        <n v="250"/>
        <n v="122"/>
        <n v="217"/>
        <n v="41"/>
        <n v="92"/>
        <n v="66"/>
        <n v="109"/>
        <n v="47"/>
        <n v="276"/>
        <n v="89"/>
        <n v="55"/>
        <n v="295"/>
        <n v="162"/>
        <n v="293"/>
        <n v="202"/>
        <n v="75"/>
        <n v="270"/>
        <n v="85"/>
        <n v="74"/>
        <n v="238"/>
        <n v="179"/>
        <n v="86"/>
        <n v="43"/>
        <n v="176"/>
        <n v="258"/>
        <n v="290"/>
        <n v="195"/>
        <n v="165"/>
        <n v="147"/>
        <n v="48"/>
        <n v="112"/>
        <n v="107"/>
        <n v="246"/>
        <n v="192"/>
        <n v="103"/>
        <n v="292"/>
        <n v="264"/>
        <n v="170"/>
        <n v="120"/>
        <n v="194"/>
        <n v="152"/>
        <n v="291"/>
        <n v="145"/>
        <n v="224"/>
        <n v="73"/>
        <n v="275"/>
        <n v="278"/>
        <n v="69"/>
        <n v="100"/>
        <n v="265"/>
        <n v="248"/>
        <n v="271"/>
        <n v="126"/>
        <n v="245"/>
        <n v="119"/>
        <n v="125"/>
        <n v="67"/>
        <n v="141"/>
        <n v="156"/>
        <n v="60"/>
        <n v="108"/>
        <n v="173"/>
        <n v="45"/>
        <n v="83"/>
        <n v="80"/>
        <n v="114"/>
        <n v="215"/>
        <n v="266"/>
        <n v="237"/>
        <n v="148"/>
        <n v="254"/>
        <n v="269"/>
        <n v="143"/>
        <n v="272"/>
        <n v="65"/>
        <n v="249"/>
        <n v="159"/>
        <n v="227"/>
        <n v="175"/>
        <n v="82"/>
        <n v="285"/>
        <n v="199"/>
        <n v="251"/>
        <n v="235"/>
      </sharedItems>
    </cacheField>
    <cacheField name="Avg Rating" numFmtId="0">
      <sharedItems containsSemiMixedTypes="0" containsString="0" containsNumber="1" minValue="3.5" maxValue="5"/>
    </cacheField>
    <cacheField name="Discount %" numFmtId="0">
      <sharedItems containsSemiMixedTypes="0" containsString="0" containsNumber="1" containsInteger="1" minValue="0" maxValue="15"/>
    </cacheField>
    <cacheField name="Payment Mode" numFmtId="0">
      <sharedItems count="3">
        <s v="Card"/>
        <s v="UPI"/>
        <s v="Cash"/>
      </sharedItems>
    </cacheField>
    <cacheField name="Membership Type" numFmtId="0">
      <sharedItems/>
    </cacheField>
    <cacheField name="Order Status" numFmtId="0">
      <sharedItems/>
    </cacheField>
    <cacheField name="Latitude" numFmtId="0">
      <sharedItems containsSemiMixedTypes="0" containsString="0" containsNumber="1" minValue="9.93" maxValue="28.61"/>
    </cacheField>
    <cacheField name="Longitude" numFmtId="0">
      <sharedItems containsSemiMixedTypes="0" containsString="0" containsNumber="1" minValue="72.87" maxValue="80.27"/>
    </cacheField>
    <cacheField name="Daily Open Sales" numFmtId="0">
      <sharedItems containsSemiMixedTypes="0" containsString="0" containsNumber="1" containsInteger="1" minValue="5035" maxValue="14996"/>
    </cacheField>
    <cacheField name="Daily High Sales" numFmtId="0">
      <sharedItems containsSemiMixedTypes="0" containsString="0" containsNumber="1" containsInteger="1" minValue="6408" maxValue="19517" count="488">
        <n v="8704"/>
        <n v="13268"/>
        <n v="8216"/>
        <n v="12376"/>
        <n v="17587"/>
        <n v="19115"/>
        <n v="10938"/>
        <n v="11220"/>
        <n v="18063"/>
        <n v="12110"/>
        <n v="14519"/>
        <n v="14089"/>
        <n v="6408"/>
        <n v="16625"/>
        <n v="14600"/>
        <n v="15117"/>
        <n v="14466"/>
        <n v="16086"/>
        <n v="8803"/>
        <n v="16171"/>
        <n v="14442"/>
        <n v="16785"/>
        <n v="12060"/>
        <n v="16285"/>
        <n v="11097"/>
        <n v="15967"/>
        <n v="13236"/>
        <n v="11175"/>
        <n v="12208"/>
        <n v="16441"/>
        <n v="10192"/>
        <n v="15687"/>
        <n v="13438"/>
        <n v="10226"/>
        <n v="17440"/>
        <n v="7474"/>
        <n v="11864"/>
        <n v="16106"/>
        <n v="17874"/>
        <n v="13729"/>
        <n v="15552"/>
        <n v="17389"/>
        <n v="8269"/>
        <n v="14813"/>
        <n v="10940"/>
        <n v="15231"/>
        <n v="13688"/>
        <n v="14705"/>
        <n v="8786"/>
        <n v="14017"/>
        <n v="10972"/>
        <n v="14019"/>
        <n v="9844"/>
        <n v="9094"/>
        <n v="19286"/>
        <n v="15188"/>
        <n v="11000"/>
        <n v="13674"/>
        <n v="15788"/>
        <n v="15602"/>
        <n v="10372"/>
        <n v="18774"/>
        <n v="16041"/>
        <n v="15320"/>
        <n v="12833"/>
        <n v="8295"/>
        <n v="16087"/>
        <n v="11248"/>
        <n v="9873"/>
        <n v="15716"/>
        <n v="16375"/>
        <n v="10942"/>
        <n v="8508"/>
        <n v="17324"/>
        <n v="11171"/>
        <n v="14859"/>
        <n v="17848"/>
        <n v="17634"/>
        <n v="14382"/>
        <n v="9705"/>
        <n v="16326"/>
        <n v="14589"/>
        <n v="7750"/>
        <n v="14692"/>
        <n v="13854"/>
        <n v="9617"/>
        <n v="16630"/>
        <n v="13137"/>
        <n v="17911"/>
        <n v="11913"/>
        <n v="13956"/>
        <n v="16609"/>
        <n v="17476"/>
        <n v="9462"/>
        <n v="11612"/>
        <n v="16230"/>
        <n v="14084"/>
        <n v="10968"/>
        <n v="10809"/>
        <n v="13615"/>
        <n v="11804"/>
        <n v="9082"/>
        <n v="15990"/>
        <n v="18222"/>
        <n v="13835"/>
        <n v="15176"/>
        <n v="9795"/>
        <n v="7307"/>
        <n v="9990"/>
        <n v="12437"/>
        <n v="14596"/>
        <n v="11939"/>
        <n v="16243"/>
        <n v="15638"/>
        <n v="7812"/>
        <n v="16894"/>
        <n v="11494"/>
        <n v="13701"/>
        <n v="10775"/>
        <n v="9916"/>
        <n v="11998"/>
        <n v="17208"/>
        <n v="13101"/>
        <n v="14431"/>
        <n v="15109"/>
        <n v="10501"/>
        <n v="16226"/>
        <n v="11373"/>
        <n v="18455"/>
        <n v="12631"/>
        <n v="7792"/>
        <n v="16683"/>
        <n v="8320"/>
        <n v="8856"/>
        <n v="10625"/>
        <n v="8268"/>
        <n v="9541"/>
        <n v="9533"/>
        <n v="12941"/>
        <n v="14343"/>
        <n v="10839"/>
        <n v="16988"/>
        <n v="15608"/>
        <n v="12840"/>
        <n v="8482"/>
        <n v="12325"/>
        <n v="16431"/>
        <n v="16821"/>
        <n v="8093"/>
        <n v="8724"/>
        <n v="10630"/>
        <n v="12698"/>
        <n v="17842"/>
        <n v="6414"/>
        <n v="16105"/>
        <n v="9724"/>
        <n v="15998"/>
        <n v="15886"/>
        <n v="11914"/>
        <n v="17151"/>
        <n v="10438"/>
        <n v="16080"/>
        <n v="16036"/>
        <n v="10015"/>
        <n v="15189"/>
        <n v="15657"/>
        <n v="11626"/>
        <n v="18115"/>
        <n v="11779"/>
        <n v="10858"/>
        <n v="11495"/>
        <n v="14827"/>
        <n v="16177"/>
        <n v="14372"/>
        <n v="17370"/>
        <n v="9045"/>
        <n v="17492"/>
        <n v="17113"/>
        <n v="15719"/>
        <n v="15385"/>
        <n v="9743"/>
        <n v="10200"/>
        <n v="11583"/>
        <n v="13161"/>
        <n v="14677"/>
        <n v="16868"/>
        <n v="14388"/>
        <n v="17761"/>
        <n v="16094"/>
        <n v="11876"/>
        <n v="14734"/>
        <n v="10213"/>
        <n v="17602"/>
        <n v="15843"/>
        <n v="8858"/>
        <n v="16781"/>
        <n v="18558"/>
        <n v="16388"/>
        <n v="11155"/>
        <n v="17202"/>
        <n v="9908"/>
        <n v="13165"/>
        <n v="10698"/>
        <n v="17120"/>
        <n v="8813"/>
        <n v="17204"/>
        <n v="12028"/>
        <n v="15643"/>
        <n v="11901"/>
        <n v="14454"/>
        <n v="13330"/>
        <n v="11890"/>
        <n v="8857"/>
        <n v="12879"/>
        <n v="7330"/>
        <n v="7030"/>
        <n v="18762"/>
        <n v="16550"/>
        <n v="14850"/>
        <n v="7518"/>
        <n v="15174"/>
        <n v="18517"/>
        <n v="17675"/>
        <n v="14683"/>
        <n v="15276"/>
        <n v="6693"/>
        <n v="13960"/>
        <n v="15841"/>
        <n v="13442"/>
        <n v="13096"/>
        <n v="16025"/>
        <n v="17148"/>
        <n v="10454"/>
        <n v="11475"/>
        <n v="15625"/>
        <n v="12056"/>
        <n v="14755"/>
        <n v="10668"/>
        <n v="9271"/>
        <n v="15878"/>
        <n v="14579"/>
        <n v="14211"/>
        <n v="16037"/>
        <n v="11524"/>
        <n v="14326"/>
        <n v="10880"/>
        <n v="16321"/>
        <n v="16331"/>
        <n v="15857"/>
        <n v="8016"/>
        <n v="10661"/>
        <n v="9240"/>
        <n v="18603"/>
        <n v="10669"/>
        <n v="17824"/>
        <n v="11113"/>
        <n v="15931"/>
        <n v="17945"/>
        <n v="14969"/>
        <n v="10282"/>
        <n v="10300"/>
        <n v="14582"/>
        <n v="7851"/>
        <n v="10026"/>
        <n v="10879"/>
        <n v="17917"/>
        <n v="16097"/>
        <n v="8208"/>
        <n v="9530"/>
        <n v="9073"/>
        <n v="13628"/>
        <n v="9569"/>
        <n v="17109"/>
        <n v="13465"/>
        <n v="15433"/>
        <n v="14735"/>
        <n v="11799"/>
        <n v="12620"/>
        <n v="13769"/>
        <n v="11806"/>
        <n v="13221"/>
        <n v="11152"/>
        <n v="10369"/>
        <n v="7178"/>
        <n v="10061"/>
        <n v="13478"/>
        <n v="11997"/>
        <n v="15070"/>
        <n v="10405"/>
        <n v="14976"/>
        <n v="9429"/>
        <n v="12568"/>
        <n v="11264"/>
        <n v="10232"/>
        <n v="14399"/>
        <n v="15962"/>
        <n v="9205"/>
        <n v="10350"/>
        <n v="12897"/>
        <n v="9666"/>
        <n v="15228"/>
        <n v="16998"/>
        <n v="8536"/>
        <n v="13540"/>
        <n v="12930"/>
        <n v="13941"/>
        <n v="10485"/>
        <n v="16532"/>
        <n v="12728"/>
        <n v="15572"/>
        <n v="17355"/>
        <n v="14893"/>
        <n v="16463"/>
        <n v="8526"/>
        <n v="9389"/>
        <n v="14271"/>
        <n v="12075"/>
        <n v="15247"/>
        <n v="17089"/>
        <n v="12604"/>
        <n v="12315"/>
        <n v="12651"/>
        <n v="10006"/>
        <n v="19394"/>
        <n v="10420"/>
        <n v="11413"/>
        <n v="13815"/>
        <n v="11199"/>
        <n v="13073"/>
        <n v="15939"/>
        <n v="8185"/>
        <n v="16729"/>
        <n v="18053"/>
        <n v="16875"/>
        <n v="15477"/>
        <n v="7039"/>
        <n v="14268"/>
        <n v="9070"/>
        <n v="13624"/>
        <n v="17042"/>
        <n v="12912"/>
        <n v="8202"/>
        <n v="14717"/>
        <n v="16089"/>
        <n v="12417"/>
        <n v="18239"/>
        <n v="11794"/>
        <n v="17278"/>
        <n v="16527"/>
        <n v="16513"/>
        <n v="11273"/>
        <n v="8478"/>
        <n v="16069"/>
        <n v="7583"/>
        <n v="8801"/>
        <n v="14232"/>
        <n v="14832"/>
        <n v="18378"/>
        <n v="19517"/>
        <n v="18676"/>
        <n v="9288"/>
        <n v="7574"/>
        <n v="12034"/>
        <n v="13204"/>
        <n v="9007"/>
        <n v="14406"/>
        <n v="8266"/>
        <n v="16606"/>
        <n v="16751"/>
        <n v="12070"/>
        <n v="13080"/>
        <n v="12442"/>
        <n v="10105"/>
        <n v="10102"/>
        <n v="10621"/>
        <n v="7403"/>
        <n v="10984"/>
        <n v="16081"/>
        <n v="12928"/>
        <n v="10700"/>
        <n v="11964"/>
        <n v="10624"/>
        <n v="13503"/>
        <n v="13548"/>
        <n v="11407"/>
        <n v="16530"/>
        <n v="12017"/>
        <n v="9379"/>
        <n v="12937"/>
        <n v="12484"/>
        <n v="14670"/>
        <n v="14448"/>
        <n v="16564"/>
        <n v="14674"/>
        <n v="7354"/>
        <n v="10430"/>
        <n v="18316"/>
        <n v="13391"/>
        <n v="9261"/>
        <n v="16953"/>
        <n v="12546"/>
        <n v="11398"/>
        <n v="18768"/>
        <n v="12105"/>
        <n v="13408"/>
        <n v="14706"/>
        <n v="11888"/>
        <n v="14088"/>
        <n v="9807"/>
        <n v="13304"/>
        <n v="18688"/>
        <n v="9188"/>
        <n v="12926"/>
        <n v="9166"/>
        <n v="15808"/>
        <n v="18739"/>
        <n v="16583"/>
        <n v="9897"/>
        <n v="14392"/>
        <n v="8145"/>
        <n v="13263"/>
        <n v="13176"/>
        <n v="16098"/>
        <n v="12412"/>
        <n v="13114"/>
        <n v="10076"/>
        <n v="12310"/>
        <n v="9727"/>
        <n v="14740"/>
        <n v="14182"/>
        <n v="14842"/>
        <n v="18354"/>
        <n v="15823"/>
        <n v="13703"/>
        <n v="9387"/>
        <n v="17053"/>
        <n v="10936"/>
        <n v="7828"/>
        <n v="14279"/>
        <n v="9394"/>
        <n v="13007"/>
        <n v="18149"/>
        <n v="7613"/>
        <n v="9117"/>
        <n v="7983"/>
        <n v="8977"/>
        <n v="12713"/>
        <n v="17951"/>
        <n v="14083"/>
        <n v="12287"/>
        <n v="9416"/>
        <n v="15454"/>
        <n v="8558"/>
        <n v="10725"/>
        <n v="16615"/>
        <n v="8596"/>
        <n v="15821"/>
        <n v="12200"/>
        <n v="15192"/>
        <n v="7049"/>
        <n v="15915"/>
        <n v="9225"/>
        <n v="9139"/>
        <n v="8998"/>
        <n v="16754"/>
        <n v="17346"/>
        <n v="17541"/>
        <n v="9030"/>
        <n v="15639"/>
        <n v="12580"/>
        <n v="12305"/>
        <n v="16612"/>
        <n v="10365"/>
        <n v="9057"/>
        <n v="12114"/>
        <n v="10389"/>
        <n v="11374"/>
        <n v="15818"/>
        <n v="10716"/>
        <n v="13587"/>
        <n v="11250"/>
        <n v="13735"/>
        <n v="16652"/>
        <n v="15043"/>
        <n v="16753"/>
        <n v="13724"/>
        <n v="10614"/>
        <n v="12529"/>
      </sharedItems>
    </cacheField>
    <cacheField name="Daily Low Sales" numFmtId="0">
      <sharedItems containsSemiMixedTypes="0" containsString="0" containsNumber="1" containsInteger="1" minValue="3328" maxValue="14262"/>
    </cacheField>
    <cacheField name="Daily Close Sales" numFmtId="0">
      <sharedItems containsSemiMixedTypes="0" containsString="0" containsNumber="1" containsInteger="1" minValue="3629" maxValue="17976" count="492">
        <n v="4863"/>
        <n v="11973"/>
        <n v="5876"/>
        <n v="7602"/>
        <n v="16541"/>
        <n v="15246"/>
        <n v="8440"/>
        <n v="9448"/>
        <n v="16639"/>
        <n v="11334"/>
        <n v="13785"/>
        <n v="10217"/>
        <n v="5913"/>
        <n v="13991"/>
        <n v="9950"/>
        <n v="13102"/>
        <n v="13397"/>
        <n v="11942"/>
        <n v="5858"/>
        <n v="14561"/>
        <n v="12235"/>
        <n v="14497"/>
        <n v="6837"/>
        <n v="13496"/>
        <n v="9304"/>
        <n v="14713"/>
        <n v="10068"/>
        <n v="8486"/>
        <n v="11404"/>
        <n v="14721"/>
        <n v="8878"/>
        <n v="13723"/>
        <n v="12933"/>
        <n v="6758"/>
        <n v="15702"/>
        <n v="6433"/>
        <n v="7935"/>
        <n v="8427"/>
        <n v="13820"/>
        <n v="14436"/>
        <n v="12719"/>
        <n v="13949"/>
        <n v="14828"/>
        <n v="4651"/>
        <n v="12165"/>
        <n v="8872"/>
        <n v="13646"/>
        <n v="10526"/>
        <n v="11883"/>
        <n v="7607"/>
        <n v="12356"/>
        <n v="6435"/>
        <n v="6938"/>
        <n v="7774"/>
        <n v="16149"/>
        <n v="12049"/>
        <n v="6793"/>
        <n v="11750"/>
        <n v="15587"/>
        <n v="12822"/>
        <n v="9792"/>
        <n v="16182"/>
        <n v="16022"/>
        <n v="12650"/>
        <n v="11940"/>
        <n v="4962"/>
        <n v="12118"/>
        <n v="10000"/>
        <n v="9636"/>
        <n v="13815"/>
        <n v="13351"/>
        <n v="10838"/>
        <n v="8229"/>
        <n v="16202"/>
        <n v="10981"/>
        <n v="13778"/>
        <n v="17693"/>
        <n v="16156"/>
        <n v="14330"/>
        <n v="8633"/>
        <n v="13478"/>
        <n v="14058"/>
        <n v="6449"/>
        <n v="13355"/>
        <n v="10847"/>
        <n v="7782"/>
        <n v="14377"/>
        <n v="11979"/>
        <n v="13464"/>
        <n v="10249"/>
        <n v="12050"/>
        <n v="15968"/>
        <n v="10842"/>
        <n v="8087"/>
        <n v="6025"/>
        <n v="12988"/>
        <n v="9386"/>
        <n v="9229"/>
        <n v="9119"/>
        <n v="11554"/>
        <n v="9391"/>
        <n v="6748"/>
        <n v="13377"/>
        <n v="12261"/>
        <n v="11243"/>
        <n v="13847"/>
        <n v="7915"/>
        <n v="5006"/>
        <n v="7043"/>
        <n v="11164"/>
        <n v="11588"/>
        <n v="16013"/>
        <n v="15378"/>
        <n v="7583"/>
        <n v="13026"/>
        <n v="9120"/>
        <n v="8692"/>
        <n v="9993"/>
        <n v="8101"/>
        <n v="11023"/>
        <n v="14598"/>
        <n v="8477"/>
        <n v="9301"/>
        <n v="12792"/>
        <n v="7206"/>
        <n v="15577"/>
        <n v="13672"/>
        <n v="10757"/>
        <n v="14439"/>
        <n v="9539"/>
        <n v="5288"/>
        <n v="12407"/>
        <n v="7615"/>
        <n v="7130"/>
        <n v="10488"/>
        <n v="7590"/>
        <n v="5199"/>
        <n v="8739"/>
        <n v="11726"/>
        <n v="10371"/>
        <n v="6500"/>
        <n v="14763"/>
        <n v="14990"/>
        <n v="10013"/>
        <n v="6646"/>
        <n v="11565"/>
        <n v="8310"/>
        <n v="14447"/>
        <n v="15086"/>
        <n v="7816"/>
        <n v="8214"/>
        <n v="6654"/>
        <n v="8900"/>
        <n v="13541"/>
        <n v="3735"/>
        <n v="12044"/>
        <n v="6367"/>
        <n v="8701"/>
        <n v="16702"/>
        <n v="9034"/>
        <n v="14776"/>
        <n v="9927"/>
        <n v="14090"/>
        <n v="14573"/>
        <n v="10925"/>
        <n v="17976"/>
        <n v="10699"/>
        <n v="15557"/>
        <n v="10025"/>
        <n v="9267"/>
        <n v="11937"/>
        <n v="14760"/>
        <n v="8582"/>
        <n v="15664"/>
        <n v="7988"/>
        <n v="16011"/>
        <n v="16655"/>
        <n v="15691"/>
        <n v="15104"/>
        <n v="7617"/>
        <n v="9791"/>
        <n v="8649"/>
        <n v="11476"/>
        <n v="12629"/>
        <n v="12950"/>
        <n v="14043"/>
        <n v="15597"/>
        <n v="11212"/>
        <n v="8409"/>
        <n v="13516"/>
        <n v="5889"/>
        <n v="17274"/>
        <n v="15007"/>
        <n v="8062"/>
        <n v="13143"/>
        <n v="12412"/>
        <n v="14821"/>
        <n v="7258"/>
        <n v="10833"/>
        <n v="9776"/>
        <n v="6720"/>
        <n v="10150"/>
        <n v="14084"/>
        <n v="6408"/>
        <n v="14686"/>
        <n v="10226"/>
        <n v="9492"/>
        <n v="10346"/>
        <n v="11007"/>
        <n v="9428"/>
        <n v="11831"/>
        <n v="8363"/>
        <n v="12509"/>
        <n v="13023"/>
        <n v="5145"/>
        <n v="4939"/>
        <n v="17356"/>
        <n v="13827"/>
        <n v="14030"/>
        <n v="3629"/>
        <n v="11529"/>
        <n v="16672"/>
        <n v="15930"/>
        <n v="12552"/>
        <n v="12921"/>
        <n v="14725"/>
        <n v="4101"/>
        <n v="8921"/>
        <n v="14566"/>
        <n v="12533"/>
        <n v="11519"/>
        <n v="15368"/>
        <n v="16754"/>
        <n v="6704"/>
        <n v="7399"/>
        <n v="13653"/>
        <n v="11272"/>
        <n v="13008"/>
        <n v="10331"/>
        <n v="8732"/>
        <n v="13224"/>
        <n v="11451"/>
        <n v="10880"/>
        <n v="15708"/>
        <n v="7032"/>
        <n v="12524"/>
        <n v="9526"/>
        <n v="14376"/>
        <n v="15643"/>
        <n v="5483"/>
        <n v="7035"/>
        <n v="9043"/>
        <n v="13365"/>
        <n v="9156"/>
        <n v="17100"/>
        <n v="7830"/>
        <n v="15806"/>
        <n v="16821"/>
        <n v="12422"/>
        <n v="6816"/>
        <n v="8761"/>
        <n v="13231"/>
        <n v="6307"/>
        <n v="6894"/>
        <n v="10750"/>
        <n v="15064"/>
        <n v="12227"/>
        <n v="6851"/>
        <n v="8375"/>
        <n v="6177"/>
        <n v="12526"/>
        <n v="8611"/>
        <n v="12603"/>
        <n v="12104"/>
        <n v="11716"/>
        <n v="13225"/>
        <n v="9161"/>
        <n v="9545"/>
        <n v="10942"/>
        <n v="8536"/>
        <n v="12694"/>
        <n v="9590"/>
        <n v="9701"/>
        <n v="6712"/>
        <n v="9958"/>
        <n v="10995"/>
        <n v="11854"/>
        <n v="14357"/>
        <n v="7139"/>
        <n v="11803"/>
        <n v="4784"/>
        <n v="10866"/>
        <n v="8518"/>
        <n v="8563"/>
        <n v="11972"/>
        <n v="14479"/>
        <n v="6694"/>
        <n v="9846"/>
        <n v="12101"/>
        <n v="9433"/>
        <n v="13163"/>
        <n v="13493"/>
        <n v="7320"/>
        <n v="13525"/>
        <n v="12043"/>
        <n v="10164"/>
        <n v="9146"/>
        <n v="16378"/>
        <n v="9061"/>
        <n v="12467"/>
        <n v="15755"/>
        <n v="13454"/>
        <n v="8164"/>
        <n v="7400"/>
        <n v="12221"/>
        <n v="10957"/>
        <n v="14522"/>
        <n v="14247"/>
        <n v="12570"/>
        <n v="11642"/>
        <n v="12368"/>
        <n v="9270"/>
        <n v="14917"/>
        <n v="5849"/>
        <n v="10435"/>
        <n v="11209"/>
        <n v="9283"/>
        <n v="10952"/>
        <n v="14688"/>
        <n v="6753"/>
        <n v="14303"/>
        <n v="13403"/>
        <n v="15029"/>
        <n v="15058"/>
        <n v="4229"/>
        <n v="12032"/>
        <n v="5571"/>
        <n v="12503"/>
        <n v="13835"/>
        <n v="8437"/>
        <n v="6902"/>
        <n v="13699"/>
        <n v="11802"/>
        <n v="9450"/>
        <n v="14188"/>
        <n v="8831"/>
        <n v="16534"/>
        <n v="16012"/>
        <n v="13740"/>
        <n v="10204"/>
        <n v="5048"/>
        <n v="12074"/>
        <n v="5117"/>
        <n v="8729"/>
        <n v="12841"/>
        <n v="16485"/>
        <n v="13239"/>
        <n v="13118"/>
        <n v="13739"/>
        <n v="12700"/>
        <n v="7404"/>
        <n v="13117"/>
        <n v="5711"/>
        <n v="9623"/>
        <n v="12493"/>
        <n v="7162"/>
        <n v="10585"/>
        <n v="6439"/>
        <n v="12308"/>
        <n v="13244"/>
        <n v="7519"/>
        <n v="12453"/>
        <n v="9047"/>
        <n v="5956"/>
        <n v="6382"/>
        <n v="8537"/>
        <n v="7034"/>
        <n v="9675"/>
        <n v="13545"/>
        <n v="11841"/>
        <n v="10967"/>
        <n v="9549"/>
        <n v="9624"/>
        <n v="9221"/>
        <n v="9905"/>
        <n v="11524"/>
        <n v="10734"/>
        <n v="12351"/>
        <n v="7361"/>
        <n v="6064"/>
        <n v="10760"/>
        <n v="11875"/>
        <n v="11398"/>
        <n v="14571"/>
        <n v="10415"/>
        <n v="12945"/>
        <n v="6477"/>
        <n v="9656"/>
        <n v="14898"/>
        <n v="10912"/>
        <n v="6093"/>
        <n v="12604"/>
        <n v="9109"/>
        <n v="7705"/>
        <n v="15501"/>
        <n v="10342"/>
        <n v="12026"/>
        <n v="12608"/>
        <n v="10793"/>
        <n v="11762"/>
        <n v="4122"/>
        <n v="13009"/>
        <n v="14971"/>
        <n v="7734"/>
        <n v="11939"/>
        <n v="8754"/>
        <n v="13311"/>
        <n v="13407"/>
        <n v="16570"/>
        <n v="4901"/>
        <n v="12623"/>
        <n v="4590"/>
        <n v="12378"/>
        <n v="12256"/>
        <n v="12998"/>
        <n v="9217"/>
        <n v="12318"/>
        <n v="8899"/>
        <n v="11626"/>
        <n v="8382"/>
        <n v="14007"/>
        <n v="13274"/>
        <n v="11390"/>
        <n v="14177"/>
        <n v="17224"/>
        <n v="14287"/>
        <n v="12272"/>
        <n v="7119"/>
        <n v="14477"/>
        <n v="9588"/>
        <n v="6211"/>
        <n v="13845"/>
        <n v="4440"/>
        <n v="10719"/>
        <n v="17923"/>
        <n v="6059"/>
        <n v="6949"/>
        <n v="6265"/>
        <n v="8024"/>
        <n v="12396"/>
        <n v="12975"/>
        <n v="13382"/>
        <n v="8702"/>
        <n v="7565"/>
        <n v="11585"/>
        <n v="11963"/>
        <n v="6910"/>
        <n v="8026"/>
        <n v="14112"/>
        <n v="7257"/>
        <n v="12456"/>
        <n v="7248"/>
        <n v="13065"/>
        <n v="5847"/>
        <n v="10963"/>
        <n v="8540"/>
        <n v="5009"/>
        <n v="6292"/>
        <n v="15796"/>
        <n v="12133"/>
        <n v="14986"/>
        <n v="5008"/>
        <n v="14691"/>
        <n v="11640"/>
        <n v="9504"/>
        <n v="12767"/>
        <n v="7586"/>
        <n v="4925"/>
        <n v="10840"/>
        <n v="6756"/>
        <n v="10958"/>
        <n v="14476"/>
        <n v="9090"/>
        <n v="12478"/>
        <n v="9028"/>
        <n v="13309"/>
        <n v="16257"/>
        <n v="10061"/>
        <n v="15180"/>
        <n v="11609"/>
        <n v="8175"/>
        <n v="8933"/>
      </sharedItems>
    </cacheField>
    <cacheField name="Lead Stage" numFmtId="0">
      <sharedItems count="4">
        <s v="Ordered"/>
        <s v="Walk-in"/>
        <s v="Served"/>
        <s v="Paid"/>
      </sharedItems>
    </cacheField>
    <cacheField name="Days (Date)" numFmtId="0" databaseField="0">
      <fieldGroup base="6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Date)" numFmtId="0" databaseField="0">
      <fieldGroup base="6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0"/>
    <s v="Starbucks Bengaluru"/>
    <s v="India"/>
    <x v="0"/>
    <s v="Bengaluru"/>
    <s v="South"/>
    <x v="0"/>
    <x v="0"/>
    <x v="0"/>
    <x v="0"/>
    <s v="Neha"/>
    <n v="45"/>
    <x v="0"/>
    <n v="9888.8700000000008"/>
    <n v="4061.13"/>
    <x v="0"/>
    <n v="3.5"/>
    <n v="5"/>
    <x v="0"/>
    <s v="Premium"/>
    <s v="Refunded"/>
    <n v="12.97"/>
    <n v="77.59"/>
    <n v="5966"/>
    <x v="0"/>
    <n v="4474"/>
    <x v="0"/>
    <x v="0"/>
  </r>
  <r>
    <n v="1001"/>
    <s v="Starbucks New Delhi"/>
    <s v="India"/>
    <x v="1"/>
    <s v="New Delhi"/>
    <s v="North"/>
    <x v="1"/>
    <x v="1"/>
    <x v="0"/>
    <x v="1"/>
    <s v="Anu"/>
    <n v="37"/>
    <x v="1"/>
    <n v="4892.72"/>
    <n v="3136.28"/>
    <x v="0"/>
    <n v="4.4000000000000004"/>
    <n v="5"/>
    <x v="1"/>
    <s v="Gold"/>
    <s v="Refunded"/>
    <n v="28.61"/>
    <n v="77.2"/>
    <n v="9184"/>
    <x v="1"/>
    <n v="7358"/>
    <x v="1"/>
    <x v="0"/>
  </r>
  <r>
    <n v="1002"/>
    <s v="Starbucks Mumbai"/>
    <s v="India"/>
    <x v="2"/>
    <s v="Mumbai"/>
    <s v="West"/>
    <x v="2"/>
    <x v="2"/>
    <x v="0"/>
    <x v="0"/>
    <s v="Anu"/>
    <n v="60"/>
    <x v="2"/>
    <n v="6870.76"/>
    <n v="4349.24"/>
    <x v="1"/>
    <n v="4"/>
    <n v="15"/>
    <x v="0"/>
    <s v="Gold"/>
    <s v="Completed"/>
    <n v="19.07"/>
    <n v="72.87"/>
    <n v="5082"/>
    <x v="2"/>
    <n v="3889"/>
    <x v="2"/>
    <x v="1"/>
  </r>
  <r>
    <n v="1003"/>
    <s v="Starbucks New Delhi"/>
    <s v="India"/>
    <x v="1"/>
    <s v="New Delhi"/>
    <s v="North"/>
    <x v="3"/>
    <x v="1"/>
    <x v="1"/>
    <x v="2"/>
    <s v="Vivek"/>
    <n v="41"/>
    <x v="3"/>
    <n v="7089.12"/>
    <n v="3652.88"/>
    <x v="2"/>
    <n v="3.9"/>
    <n v="0"/>
    <x v="1"/>
    <s v="Premium"/>
    <s v="Completed"/>
    <n v="28.61"/>
    <n v="77.2"/>
    <n v="7855"/>
    <x v="3"/>
    <n v="7292"/>
    <x v="3"/>
    <x v="1"/>
  </r>
  <r>
    <n v="1004"/>
    <s v="Starbucks Chennai"/>
    <s v="India"/>
    <x v="3"/>
    <s v="Chennai"/>
    <s v="South"/>
    <x v="4"/>
    <x v="0"/>
    <x v="0"/>
    <x v="1"/>
    <s v="Anu"/>
    <n v="23"/>
    <x v="4"/>
    <n v="4988.03"/>
    <n v="2325.9699999999998"/>
    <x v="3"/>
    <n v="4.5999999999999996"/>
    <n v="0"/>
    <x v="1"/>
    <s v="Premium"/>
    <s v="Refunded"/>
    <n v="13.08"/>
    <n v="80.27"/>
    <n v="12587"/>
    <x v="4"/>
    <n v="11238"/>
    <x v="4"/>
    <x v="2"/>
  </r>
  <r>
    <n v="1005"/>
    <s v="Starbucks Chennai"/>
    <s v="India"/>
    <x v="3"/>
    <s v="Chennai"/>
    <s v="South"/>
    <x v="5"/>
    <x v="1"/>
    <x v="0"/>
    <x v="1"/>
    <s v="Vivek"/>
    <n v="60"/>
    <x v="5"/>
    <n v="8447.36"/>
    <n v="3552.64"/>
    <x v="4"/>
    <n v="4.5"/>
    <n v="0"/>
    <x v="2"/>
    <s v="Premium"/>
    <s v="Refunded"/>
    <n v="13.08"/>
    <n v="80.27"/>
    <n v="14450"/>
    <x v="5"/>
    <n v="13070"/>
    <x v="5"/>
    <x v="2"/>
  </r>
  <r>
    <n v="1006"/>
    <s v="Starbucks Kochi"/>
    <s v="India"/>
    <x v="4"/>
    <s v="Kochi"/>
    <s v="South"/>
    <x v="6"/>
    <x v="3"/>
    <x v="2"/>
    <x v="3"/>
    <s v="Neha"/>
    <n v="46"/>
    <x v="6"/>
    <n v="12535.31"/>
    <n v="4024.69"/>
    <x v="5"/>
    <n v="3.9"/>
    <n v="15"/>
    <x v="0"/>
    <s v="Premium"/>
    <s v="Completed"/>
    <n v="9.93"/>
    <n v="76.260000000000005"/>
    <n v="7044"/>
    <x v="6"/>
    <n v="6499"/>
    <x v="6"/>
    <x v="0"/>
  </r>
  <r>
    <n v="1007"/>
    <s v="Starbucks Mumbai"/>
    <s v="India"/>
    <x v="2"/>
    <s v="Mumbai"/>
    <s v="West"/>
    <x v="7"/>
    <x v="4"/>
    <x v="2"/>
    <x v="4"/>
    <s v="Asha"/>
    <n v="16"/>
    <x v="7"/>
    <n v="3562.82"/>
    <n v="1173.18"/>
    <x v="6"/>
    <n v="3.6"/>
    <n v="5"/>
    <x v="2"/>
    <s v="Gold"/>
    <s v="Completed"/>
    <n v="19.07"/>
    <n v="72.87"/>
    <n v="7980"/>
    <x v="7"/>
    <n v="6364"/>
    <x v="7"/>
    <x v="1"/>
  </r>
  <r>
    <n v="1008"/>
    <s v="Starbucks Chennai"/>
    <s v="India"/>
    <x v="3"/>
    <s v="Chennai"/>
    <s v="South"/>
    <x v="5"/>
    <x v="1"/>
    <x v="1"/>
    <x v="2"/>
    <s v="Vivek"/>
    <n v="43"/>
    <x v="8"/>
    <n v="8721.7800000000007"/>
    <n v="2888.22"/>
    <x v="7"/>
    <n v="4"/>
    <n v="15"/>
    <x v="2"/>
    <s v="Gold"/>
    <s v="Cancelled"/>
    <n v="13.08"/>
    <n v="80.27"/>
    <n v="14281"/>
    <x v="8"/>
    <n v="13152"/>
    <x v="8"/>
    <x v="1"/>
  </r>
  <r>
    <n v="1009"/>
    <s v="Starbucks Mumbai"/>
    <s v="India"/>
    <x v="2"/>
    <s v="Mumbai"/>
    <s v="West"/>
    <x v="8"/>
    <x v="5"/>
    <x v="2"/>
    <x v="3"/>
    <s v="Anu"/>
    <n v="31"/>
    <x v="9"/>
    <n v="7974.07"/>
    <n v="3805.93"/>
    <x v="8"/>
    <n v="4.5"/>
    <n v="15"/>
    <x v="2"/>
    <s v="Regular"/>
    <s v="Refunded"/>
    <n v="19.07"/>
    <n v="72.87"/>
    <n v="10088"/>
    <x v="9"/>
    <n v="9386"/>
    <x v="9"/>
    <x v="2"/>
  </r>
  <r>
    <n v="1010"/>
    <s v="Starbucks Chennai"/>
    <s v="India"/>
    <x v="3"/>
    <s v="Chennai"/>
    <s v="South"/>
    <x v="9"/>
    <x v="3"/>
    <x v="0"/>
    <x v="5"/>
    <s v="Rahul"/>
    <n v="31"/>
    <x v="10"/>
    <n v="5192.53"/>
    <n v="1348.47"/>
    <x v="9"/>
    <n v="5"/>
    <n v="15"/>
    <x v="0"/>
    <s v="Regular"/>
    <s v="Cancelled"/>
    <n v="13.08"/>
    <n v="80.27"/>
    <n v="12606"/>
    <x v="10"/>
    <n v="10953"/>
    <x v="10"/>
    <x v="3"/>
  </r>
  <r>
    <n v="1011"/>
    <s v="Starbucks Mumbai"/>
    <s v="India"/>
    <x v="2"/>
    <s v="Mumbai"/>
    <s v="West"/>
    <x v="10"/>
    <x v="4"/>
    <x v="3"/>
    <x v="6"/>
    <s v="Asha"/>
    <n v="7"/>
    <x v="11"/>
    <n v="1151.6199999999999"/>
    <n v="682.38"/>
    <x v="10"/>
    <n v="3.6"/>
    <n v="0"/>
    <x v="2"/>
    <s v="Regular"/>
    <s v="Cancelled"/>
    <n v="19.07"/>
    <n v="72.87"/>
    <n v="10397"/>
    <x v="11"/>
    <n v="9103"/>
    <x v="11"/>
    <x v="0"/>
  </r>
  <r>
    <n v="1012"/>
    <s v="Starbucks Chennai"/>
    <s v="India"/>
    <x v="3"/>
    <s v="Chennai"/>
    <s v="South"/>
    <x v="11"/>
    <x v="0"/>
    <x v="2"/>
    <x v="4"/>
    <s v="Anu"/>
    <n v="40"/>
    <x v="12"/>
    <n v="7550.53"/>
    <n v="4129.47"/>
    <x v="11"/>
    <n v="3.9"/>
    <n v="10"/>
    <x v="2"/>
    <s v="Regular"/>
    <s v="Cancelled"/>
    <n v="13.08"/>
    <n v="80.27"/>
    <n v="5038"/>
    <x v="12"/>
    <n v="4083"/>
    <x v="12"/>
    <x v="3"/>
  </r>
  <r>
    <n v="1013"/>
    <s v="Starbucks Bengaluru"/>
    <s v="India"/>
    <x v="0"/>
    <s v="Bengaluru"/>
    <s v="South"/>
    <x v="7"/>
    <x v="4"/>
    <x v="3"/>
    <x v="7"/>
    <s v="Rahul"/>
    <n v="41"/>
    <x v="13"/>
    <n v="8920.1299999999992"/>
    <n v="5634.87"/>
    <x v="12"/>
    <n v="4.0999999999999996"/>
    <n v="15"/>
    <x v="2"/>
    <s v="Regular"/>
    <s v="Cancelled"/>
    <n v="12.97"/>
    <n v="77.59"/>
    <n v="12747"/>
    <x v="13"/>
    <n v="11681"/>
    <x v="13"/>
    <x v="3"/>
  </r>
  <r>
    <n v="1014"/>
    <s v="Starbucks Bengaluru"/>
    <s v="India"/>
    <x v="0"/>
    <s v="Bengaluru"/>
    <s v="South"/>
    <x v="12"/>
    <x v="4"/>
    <x v="1"/>
    <x v="2"/>
    <s v="Anu"/>
    <n v="5"/>
    <x v="14"/>
    <n v="1161.92"/>
    <n v="623.08000000000004"/>
    <x v="13"/>
    <n v="3.5"/>
    <n v="0"/>
    <x v="2"/>
    <s v="Gold"/>
    <s v="Completed"/>
    <n v="12.97"/>
    <n v="77.59"/>
    <n v="10623"/>
    <x v="14"/>
    <n v="9635"/>
    <x v="14"/>
    <x v="2"/>
  </r>
  <r>
    <n v="1015"/>
    <s v="Starbucks Bengaluru"/>
    <s v="India"/>
    <x v="0"/>
    <s v="Bengaluru"/>
    <s v="South"/>
    <x v="13"/>
    <x v="4"/>
    <x v="1"/>
    <x v="8"/>
    <s v="Neha"/>
    <n v="30"/>
    <x v="15"/>
    <n v="4228.68"/>
    <n v="3271.32"/>
    <x v="14"/>
    <n v="3.6"/>
    <n v="15"/>
    <x v="0"/>
    <s v="Regular"/>
    <s v="Refunded"/>
    <n v="12.97"/>
    <n v="77.59"/>
    <n v="12851"/>
    <x v="15"/>
    <n v="12253"/>
    <x v="15"/>
    <x v="2"/>
  </r>
  <r>
    <n v="1016"/>
    <s v="Starbucks Mumbai"/>
    <s v="India"/>
    <x v="2"/>
    <s v="Mumbai"/>
    <s v="West"/>
    <x v="14"/>
    <x v="5"/>
    <x v="3"/>
    <x v="7"/>
    <s v="Rahul"/>
    <n v="16"/>
    <x v="16"/>
    <n v="2842.84"/>
    <n v="1429.16"/>
    <x v="15"/>
    <n v="4.3"/>
    <n v="5"/>
    <x v="0"/>
    <s v="Premium"/>
    <s v="Cancelled"/>
    <n v="19.07"/>
    <n v="72.87"/>
    <n v="13385"/>
    <x v="16"/>
    <n v="12639"/>
    <x v="16"/>
    <x v="0"/>
  </r>
  <r>
    <n v="1017"/>
    <s v="Starbucks Chennai"/>
    <s v="India"/>
    <x v="3"/>
    <s v="Chennai"/>
    <s v="South"/>
    <x v="15"/>
    <x v="3"/>
    <x v="1"/>
    <x v="2"/>
    <s v="Rahul"/>
    <n v="56"/>
    <x v="17"/>
    <n v="11036.81"/>
    <n v="6155.19"/>
    <x v="16"/>
    <n v="4.7"/>
    <n v="15"/>
    <x v="1"/>
    <s v="Premium"/>
    <s v="Cancelled"/>
    <n v="13.08"/>
    <n v="80.27"/>
    <n v="12354"/>
    <x v="17"/>
    <n v="11464"/>
    <x v="17"/>
    <x v="0"/>
  </r>
  <r>
    <n v="1018"/>
    <s v="Starbucks Mumbai"/>
    <s v="India"/>
    <x v="2"/>
    <s v="Mumbai"/>
    <s v="West"/>
    <x v="16"/>
    <x v="0"/>
    <x v="1"/>
    <x v="8"/>
    <s v="Anu"/>
    <n v="35"/>
    <x v="18"/>
    <n v="4766.3"/>
    <n v="1883.7"/>
    <x v="17"/>
    <n v="4.4000000000000004"/>
    <n v="5"/>
    <x v="1"/>
    <s v="Gold"/>
    <s v="Cancelled"/>
    <n v="19.07"/>
    <n v="72.87"/>
    <n v="6638"/>
    <x v="18"/>
    <n v="5531"/>
    <x v="18"/>
    <x v="3"/>
  </r>
  <r>
    <n v="1019"/>
    <s v="Starbucks Chennai"/>
    <s v="India"/>
    <x v="3"/>
    <s v="Chennai"/>
    <s v="South"/>
    <x v="17"/>
    <x v="0"/>
    <x v="3"/>
    <x v="7"/>
    <s v="Rahul"/>
    <n v="40"/>
    <x v="12"/>
    <n v="7597.2"/>
    <n v="4082.8"/>
    <x v="18"/>
    <n v="4.7"/>
    <n v="10"/>
    <x v="1"/>
    <s v="Gold"/>
    <s v="Refunded"/>
    <n v="13.08"/>
    <n v="80.27"/>
    <n v="12435"/>
    <x v="19"/>
    <n v="11234"/>
    <x v="19"/>
    <x v="1"/>
  </r>
  <r>
    <n v="1020"/>
    <s v="Starbucks New Delhi"/>
    <s v="India"/>
    <x v="1"/>
    <s v="New Delhi"/>
    <s v="North"/>
    <x v="18"/>
    <x v="1"/>
    <x v="3"/>
    <x v="7"/>
    <s v="Vivek"/>
    <n v="7"/>
    <x v="19"/>
    <n v="1685.95"/>
    <n v="715.05"/>
    <x v="19"/>
    <n v="4.8"/>
    <n v="0"/>
    <x v="0"/>
    <s v="Premium"/>
    <s v="Refunded"/>
    <n v="28.61"/>
    <n v="77.2"/>
    <n v="10701"/>
    <x v="20"/>
    <n v="9297"/>
    <x v="20"/>
    <x v="2"/>
  </r>
  <r>
    <n v="1021"/>
    <s v="Starbucks Kochi"/>
    <s v="India"/>
    <x v="4"/>
    <s v="Kochi"/>
    <s v="South"/>
    <x v="19"/>
    <x v="2"/>
    <x v="3"/>
    <x v="6"/>
    <s v="Rahul"/>
    <n v="35"/>
    <x v="20"/>
    <n v="8188.83"/>
    <n v="5881.17"/>
    <x v="20"/>
    <n v="3.8"/>
    <n v="10"/>
    <x v="0"/>
    <s v="Gold"/>
    <s v="Cancelled"/>
    <n v="9.93"/>
    <n v="76.260000000000005"/>
    <n v="14505"/>
    <x v="21"/>
    <n v="13737"/>
    <x v="21"/>
    <x v="3"/>
  </r>
  <r>
    <n v="1022"/>
    <s v="Starbucks Chennai"/>
    <s v="India"/>
    <x v="3"/>
    <s v="Chennai"/>
    <s v="South"/>
    <x v="10"/>
    <x v="4"/>
    <x v="0"/>
    <x v="1"/>
    <s v="Rahul"/>
    <n v="51"/>
    <x v="21"/>
    <n v="9290.42"/>
    <n v="5856.58"/>
    <x v="21"/>
    <n v="4.3"/>
    <n v="0"/>
    <x v="2"/>
    <s v="Premium"/>
    <s v="Refunded"/>
    <n v="13.08"/>
    <n v="80.27"/>
    <n v="7839"/>
    <x v="22"/>
    <n v="6379"/>
    <x v="22"/>
    <x v="3"/>
  </r>
  <r>
    <n v="1023"/>
    <s v="Starbucks Mumbai"/>
    <s v="India"/>
    <x v="2"/>
    <s v="Mumbai"/>
    <s v="West"/>
    <x v="20"/>
    <x v="0"/>
    <x v="1"/>
    <x v="8"/>
    <s v="Anu"/>
    <n v="60"/>
    <x v="22"/>
    <n v="7229.22"/>
    <n v="5010.78"/>
    <x v="22"/>
    <n v="3.5"/>
    <n v="5"/>
    <x v="0"/>
    <s v="Regular"/>
    <s v="Completed"/>
    <n v="19.07"/>
    <n v="72.87"/>
    <n v="12737"/>
    <x v="23"/>
    <n v="11601"/>
    <x v="23"/>
    <x v="3"/>
  </r>
  <r>
    <n v="1024"/>
    <s v="Starbucks Mumbai"/>
    <s v="India"/>
    <x v="2"/>
    <s v="Mumbai"/>
    <s v="West"/>
    <x v="21"/>
    <x v="4"/>
    <x v="2"/>
    <x v="4"/>
    <s v="Rahul"/>
    <n v="19"/>
    <x v="23"/>
    <n v="2947.31"/>
    <n v="1213.69"/>
    <x v="23"/>
    <n v="4.2"/>
    <n v="5"/>
    <x v="1"/>
    <s v="Regular"/>
    <s v="Cancelled"/>
    <n v="19.07"/>
    <n v="72.87"/>
    <n v="8173"/>
    <x v="24"/>
    <n v="6175"/>
    <x v="24"/>
    <x v="0"/>
  </r>
  <r>
    <n v="1025"/>
    <s v="Starbucks New Delhi"/>
    <s v="India"/>
    <x v="1"/>
    <s v="New Delhi"/>
    <s v="North"/>
    <x v="22"/>
    <x v="2"/>
    <x v="2"/>
    <x v="3"/>
    <s v="Neha"/>
    <n v="11"/>
    <x v="24"/>
    <n v="2831.58"/>
    <n v="1095.42"/>
    <x v="24"/>
    <n v="4.7"/>
    <n v="5"/>
    <x v="2"/>
    <s v="Premium"/>
    <s v="Cancelled"/>
    <n v="28.61"/>
    <n v="77.2"/>
    <n v="14533"/>
    <x v="25"/>
    <n v="13543"/>
    <x v="25"/>
    <x v="0"/>
  </r>
  <r>
    <n v="1026"/>
    <s v="Starbucks Kochi"/>
    <s v="India"/>
    <x v="4"/>
    <s v="Kochi"/>
    <s v="South"/>
    <x v="23"/>
    <x v="0"/>
    <x v="1"/>
    <x v="2"/>
    <s v="Vivek"/>
    <n v="9"/>
    <x v="25"/>
    <n v="1997.22"/>
    <n v="549.78"/>
    <x v="25"/>
    <n v="3.5"/>
    <n v="10"/>
    <x v="1"/>
    <s v="Regular"/>
    <s v="Refunded"/>
    <n v="9.93"/>
    <n v="76.260000000000005"/>
    <n v="9447"/>
    <x v="26"/>
    <n v="8432"/>
    <x v="26"/>
    <x v="1"/>
  </r>
  <r>
    <n v="1027"/>
    <s v="Starbucks Mumbai"/>
    <s v="India"/>
    <x v="2"/>
    <s v="Mumbai"/>
    <s v="West"/>
    <x v="24"/>
    <x v="4"/>
    <x v="3"/>
    <x v="7"/>
    <s v="Anu"/>
    <n v="36"/>
    <x v="26"/>
    <n v="9398.85"/>
    <n v="3885.15"/>
    <x v="26"/>
    <n v="3.7"/>
    <n v="5"/>
    <x v="1"/>
    <s v="Premium"/>
    <s v="Completed"/>
    <n v="19.07"/>
    <n v="72.87"/>
    <n v="8858"/>
    <x v="27"/>
    <n v="7592"/>
    <x v="27"/>
    <x v="3"/>
  </r>
  <r>
    <n v="1028"/>
    <s v="Starbucks Mumbai"/>
    <s v="India"/>
    <x v="2"/>
    <s v="Mumbai"/>
    <s v="West"/>
    <x v="25"/>
    <x v="2"/>
    <x v="0"/>
    <x v="1"/>
    <s v="Vivek"/>
    <n v="20"/>
    <x v="27"/>
    <n v="4934.55"/>
    <n v="3145.45"/>
    <x v="27"/>
    <n v="4.5"/>
    <n v="5"/>
    <x v="0"/>
    <s v="Premium"/>
    <s v="Cancelled"/>
    <n v="19.07"/>
    <n v="72.87"/>
    <n v="11009"/>
    <x v="28"/>
    <n v="10453"/>
    <x v="28"/>
    <x v="1"/>
  </r>
  <r>
    <n v="1029"/>
    <s v="Starbucks New Delhi"/>
    <s v="India"/>
    <x v="1"/>
    <s v="New Delhi"/>
    <s v="North"/>
    <x v="26"/>
    <x v="0"/>
    <x v="3"/>
    <x v="6"/>
    <s v="Vivek"/>
    <n v="22"/>
    <x v="28"/>
    <n v="5498.05"/>
    <n v="3455.95"/>
    <x v="28"/>
    <n v="4.8"/>
    <n v="10"/>
    <x v="1"/>
    <s v="Regular"/>
    <s v="Refunded"/>
    <n v="28.61"/>
    <n v="77.2"/>
    <n v="13010"/>
    <x v="29"/>
    <n v="12444"/>
    <x v="29"/>
    <x v="0"/>
  </r>
  <r>
    <n v="1030"/>
    <s v="Starbucks New Delhi"/>
    <s v="India"/>
    <x v="1"/>
    <s v="New Delhi"/>
    <s v="North"/>
    <x v="27"/>
    <x v="1"/>
    <x v="0"/>
    <x v="0"/>
    <s v="Asha"/>
    <n v="31"/>
    <x v="29"/>
    <n v="4789.9799999999996"/>
    <n v="1224.02"/>
    <x v="10"/>
    <n v="4"/>
    <n v="15"/>
    <x v="2"/>
    <s v="Regular"/>
    <s v="Completed"/>
    <n v="28.61"/>
    <n v="77.2"/>
    <n v="8845"/>
    <x v="30"/>
    <n v="7323"/>
    <x v="30"/>
    <x v="1"/>
  </r>
  <r>
    <n v="1031"/>
    <s v="Starbucks Bengaluru"/>
    <s v="India"/>
    <x v="0"/>
    <s v="Bengaluru"/>
    <s v="South"/>
    <x v="28"/>
    <x v="2"/>
    <x v="1"/>
    <x v="2"/>
    <s v="Vivek"/>
    <n v="38"/>
    <x v="30"/>
    <n v="7524.35"/>
    <n v="3153.65"/>
    <x v="7"/>
    <n v="4"/>
    <n v="0"/>
    <x v="0"/>
    <s v="Gold"/>
    <s v="Refunded"/>
    <n v="12.97"/>
    <n v="77.59"/>
    <n v="11953"/>
    <x v="31"/>
    <n v="10498"/>
    <x v="31"/>
    <x v="3"/>
  </r>
  <r>
    <n v="1032"/>
    <s v="Starbucks Mumbai"/>
    <s v="India"/>
    <x v="2"/>
    <s v="Mumbai"/>
    <s v="West"/>
    <x v="29"/>
    <x v="2"/>
    <x v="1"/>
    <x v="8"/>
    <s v="Vivek"/>
    <n v="13"/>
    <x v="31"/>
    <n v="1967.61"/>
    <n v="1087.3900000000001"/>
    <x v="29"/>
    <n v="4.7"/>
    <n v="15"/>
    <x v="2"/>
    <s v="Premium"/>
    <s v="Refunded"/>
    <n v="19.07"/>
    <n v="72.87"/>
    <n v="9456"/>
    <x v="32"/>
    <n v="8466"/>
    <x v="32"/>
    <x v="2"/>
  </r>
  <r>
    <n v="1033"/>
    <s v="Starbucks New Delhi"/>
    <s v="India"/>
    <x v="1"/>
    <s v="New Delhi"/>
    <s v="North"/>
    <x v="30"/>
    <x v="5"/>
    <x v="0"/>
    <x v="1"/>
    <s v="Rahul"/>
    <n v="37"/>
    <x v="32"/>
    <n v="8402.4599999999991"/>
    <n v="5916.54"/>
    <x v="30"/>
    <n v="4.5999999999999996"/>
    <n v="0"/>
    <x v="2"/>
    <s v="Gold"/>
    <s v="Cancelled"/>
    <n v="28.61"/>
    <n v="77.2"/>
    <n v="7074"/>
    <x v="33"/>
    <n v="5764"/>
    <x v="33"/>
    <x v="2"/>
  </r>
  <r>
    <n v="1034"/>
    <s v="Starbucks New Delhi"/>
    <s v="India"/>
    <x v="1"/>
    <s v="New Delhi"/>
    <s v="North"/>
    <x v="31"/>
    <x v="3"/>
    <x v="0"/>
    <x v="5"/>
    <s v="Neha"/>
    <n v="14"/>
    <x v="33"/>
    <n v="4369.97"/>
    <n v="1146.03"/>
    <x v="17"/>
    <n v="4.3"/>
    <n v="5"/>
    <x v="2"/>
    <s v="Premium"/>
    <s v="Refunded"/>
    <n v="28.61"/>
    <n v="77.2"/>
    <n v="14791"/>
    <x v="34"/>
    <n v="12952"/>
    <x v="34"/>
    <x v="1"/>
  </r>
  <r>
    <n v="1035"/>
    <s v="Starbucks Bengaluru"/>
    <s v="India"/>
    <x v="0"/>
    <s v="Bengaluru"/>
    <s v="South"/>
    <x v="11"/>
    <x v="0"/>
    <x v="2"/>
    <x v="3"/>
    <s v="Rahul"/>
    <n v="53"/>
    <x v="34"/>
    <n v="12537.26"/>
    <n v="3468.74"/>
    <x v="1"/>
    <n v="3.9"/>
    <n v="15"/>
    <x v="1"/>
    <s v="Gold"/>
    <s v="Completed"/>
    <n v="12.97"/>
    <n v="77.59"/>
    <n v="5827"/>
    <x v="35"/>
    <n v="4601"/>
    <x v="35"/>
    <x v="3"/>
  </r>
  <r>
    <n v="1036"/>
    <s v="Starbucks Mumbai"/>
    <s v="India"/>
    <x v="2"/>
    <s v="Mumbai"/>
    <s v="West"/>
    <x v="32"/>
    <x v="1"/>
    <x v="1"/>
    <x v="8"/>
    <s v="Anu"/>
    <n v="29"/>
    <x v="35"/>
    <n v="5034.3900000000003"/>
    <n v="1432.61"/>
    <x v="31"/>
    <n v="3.7"/>
    <n v="0"/>
    <x v="2"/>
    <s v="Regular"/>
    <s v="Cancelled"/>
    <n v="19.07"/>
    <n v="72.87"/>
    <n v="6707"/>
    <x v="27"/>
    <n v="4979"/>
    <x v="36"/>
    <x v="0"/>
  </r>
  <r>
    <n v="1037"/>
    <s v="Starbucks Mumbai"/>
    <s v="India"/>
    <x v="2"/>
    <s v="Mumbai"/>
    <s v="West"/>
    <x v="10"/>
    <x v="4"/>
    <x v="0"/>
    <x v="5"/>
    <s v="Anu"/>
    <n v="8"/>
    <x v="36"/>
    <n v="1680.55"/>
    <n v="663.45"/>
    <x v="32"/>
    <n v="4"/>
    <n v="10"/>
    <x v="1"/>
    <s v="Regular"/>
    <s v="Refunded"/>
    <n v="19.07"/>
    <n v="72.87"/>
    <n v="8686"/>
    <x v="36"/>
    <n v="7839"/>
    <x v="37"/>
    <x v="1"/>
  </r>
  <r>
    <n v="1038"/>
    <s v="Starbucks Mumbai"/>
    <s v="India"/>
    <x v="2"/>
    <s v="Mumbai"/>
    <s v="West"/>
    <x v="33"/>
    <x v="5"/>
    <x v="2"/>
    <x v="4"/>
    <s v="Rahul"/>
    <n v="27"/>
    <x v="37"/>
    <n v="3639.88"/>
    <n v="2462.12"/>
    <x v="33"/>
    <n v="3.7"/>
    <n v="5"/>
    <x v="0"/>
    <s v="Premium"/>
    <s v="Cancelled"/>
    <n v="19.07"/>
    <n v="72.87"/>
    <n v="13043"/>
    <x v="37"/>
    <n v="12121"/>
    <x v="38"/>
    <x v="2"/>
  </r>
  <r>
    <n v="1039"/>
    <s v="Starbucks New Delhi"/>
    <s v="India"/>
    <x v="1"/>
    <s v="New Delhi"/>
    <s v="North"/>
    <x v="34"/>
    <x v="0"/>
    <x v="2"/>
    <x v="4"/>
    <s v="Asha"/>
    <n v="44"/>
    <x v="38"/>
    <n v="6842.99"/>
    <n v="4157.01"/>
    <x v="34"/>
    <n v="4.8"/>
    <n v="10"/>
    <x v="0"/>
    <s v="Premium"/>
    <s v="Completed"/>
    <n v="28.61"/>
    <n v="77.2"/>
    <n v="13645"/>
    <x v="38"/>
    <n v="12558"/>
    <x v="39"/>
    <x v="2"/>
  </r>
  <r>
    <n v="1040"/>
    <s v="Starbucks Chennai"/>
    <s v="India"/>
    <x v="3"/>
    <s v="Chennai"/>
    <s v="South"/>
    <x v="17"/>
    <x v="0"/>
    <x v="2"/>
    <x v="3"/>
    <s v="Asha"/>
    <n v="32"/>
    <x v="39"/>
    <n v="5514.67"/>
    <n v="1941.33"/>
    <x v="35"/>
    <n v="3.8"/>
    <n v="10"/>
    <x v="1"/>
    <s v="Gold"/>
    <s v="Cancelled"/>
    <n v="13.08"/>
    <n v="80.27"/>
    <n v="12455"/>
    <x v="39"/>
    <n v="11374"/>
    <x v="40"/>
    <x v="0"/>
  </r>
  <r>
    <n v="1041"/>
    <s v="Starbucks Chennai"/>
    <s v="India"/>
    <x v="3"/>
    <s v="Chennai"/>
    <s v="South"/>
    <x v="35"/>
    <x v="1"/>
    <x v="0"/>
    <x v="1"/>
    <s v="Asha"/>
    <n v="5"/>
    <x v="40"/>
    <n v="1173.3599999999999"/>
    <n v="856.64"/>
    <x v="36"/>
    <n v="4.8"/>
    <n v="0"/>
    <x v="0"/>
    <s v="Regular"/>
    <s v="Refunded"/>
    <n v="13.08"/>
    <n v="80.27"/>
    <n v="12254"/>
    <x v="40"/>
    <n v="10676"/>
    <x v="41"/>
    <x v="0"/>
  </r>
  <r>
    <n v="1042"/>
    <s v="Starbucks Chennai"/>
    <s v="India"/>
    <x v="3"/>
    <s v="Chennai"/>
    <s v="South"/>
    <x v="11"/>
    <x v="0"/>
    <x v="0"/>
    <x v="5"/>
    <s v="Rahul"/>
    <n v="41"/>
    <x v="41"/>
    <n v="6552.09"/>
    <n v="2344.91"/>
    <x v="37"/>
    <n v="5"/>
    <n v="15"/>
    <x v="2"/>
    <s v="Regular"/>
    <s v="Completed"/>
    <n v="13.08"/>
    <n v="80.27"/>
    <n v="14448"/>
    <x v="41"/>
    <n v="12547"/>
    <x v="42"/>
    <x v="1"/>
  </r>
  <r>
    <n v="1043"/>
    <s v="Starbucks New Delhi"/>
    <s v="India"/>
    <x v="1"/>
    <s v="New Delhi"/>
    <s v="North"/>
    <x v="36"/>
    <x v="3"/>
    <x v="0"/>
    <x v="0"/>
    <s v="Anu"/>
    <n v="39"/>
    <x v="42"/>
    <n v="10671.2"/>
    <n v="5357.8"/>
    <x v="38"/>
    <n v="3.8"/>
    <n v="5"/>
    <x v="0"/>
    <s v="Gold"/>
    <s v="Cancelled"/>
    <n v="28.61"/>
    <n v="77.2"/>
    <n v="5060"/>
    <x v="42"/>
    <n v="4087"/>
    <x v="43"/>
    <x v="2"/>
  </r>
  <r>
    <n v="1044"/>
    <s v="Starbucks Mumbai"/>
    <s v="India"/>
    <x v="2"/>
    <s v="Mumbai"/>
    <s v="West"/>
    <x v="26"/>
    <x v="0"/>
    <x v="3"/>
    <x v="6"/>
    <s v="Rahul"/>
    <n v="57"/>
    <x v="43"/>
    <n v="15005.75"/>
    <n v="7680.25"/>
    <x v="5"/>
    <n v="4.9000000000000004"/>
    <n v="15"/>
    <x v="2"/>
    <s v="Premium"/>
    <s v="Cancelled"/>
    <n v="19.07"/>
    <n v="72.87"/>
    <n v="12856"/>
    <x v="43"/>
    <n v="12096"/>
    <x v="44"/>
    <x v="1"/>
  </r>
  <r>
    <n v="1045"/>
    <s v="Starbucks Kochi"/>
    <s v="India"/>
    <x v="4"/>
    <s v="Kochi"/>
    <s v="South"/>
    <x v="37"/>
    <x v="2"/>
    <x v="2"/>
    <x v="4"/>
    <s v="Asha"/>
    <n v="36"/>
    <x v="44"/>
    <n v="6308.66"/>
    <n v="3123.34"/>
    <x v="39"/>
    <n v="4.3"/>
    <n v="5"/>
    <x v="2"/>
    <s v="Gold"/>
    <s v="Refunded"/>
    <n v="9.93"/>
    <n v="76.260000000000005"/>
    <n v="8809"/>
    <x v="44"/>
    <n v="7252"/>
    <x v="45"/>
    <x v="2"/>
  </r>
  <r>
    <n v="1046"/>
    <s v="Starbucks New Delhi"/>
    <s v="India"/>
    <x v="1"/>
    <s v="New Delhi"/>
    <s v="North"/>
    <x v="38"/>
    <x v="5"/>
    <x v="0"/>
    <x v="5"/>
    <s v="Vivek"/>
    <n v="31"/>
    <x v="45"/>
    <n v="5896.36"/>
    <n v="2814.64"/>
    <x v="40"/>
    <n v="4"/>
    <n v="0"/>
    <x v="0"/>
    <s v="Regular"/>
    <s v="Completed"/>
    <n v="28.61"/>
    <n v="77.2"/>
    <n v="11061"/>
    <x v="45"/>
    <n v="10015"/>
    <x v="46"/>
    <x v="0"/>
  </r>
  <r>
    <n v="1047"/>
    <s v="Starbucks Kochi"/>
    <s v="India"/>
    <x v="4"/>
    <s v="Kochi"/>
    <s v="South"/>
    <x v="39"/>
    <x v="4"/>
    <x v="2"/>
    <x v="4"/>
    <s v="Rahul"/>
    <n v="22"/>
    <x v="46"/>
    <n v="2854.25"/>
    <n v="1347.75"/>
    <x v="41"/>
    <n v="4.5999999999999996"/>
    <n v="15"/>
    <x v="2"/>
    <s v="Gold"/>
    <s v="Completed"/>
    <n v="9.93"/>
    <n v="76.260000000000005"/>
    <n v="11407"/>
    <x v="46"/>
    <n v="9954"/>
    <x v="47"/>
    <x v="3"/>
  </r>
  <r>
    <n v="1048"/>
    <s v="Starbucks Bengaluru"/>
    <s v="India"/>
    <x v="0"/>
    <s v="Bengaluru"/>
    <s v="South"/>
    <x v="40"/>
    <x v="3"/>
    <x v="0"/>
    <x v="5"/>
    <s v="Asha"/>
    <n v="35"/>
    <x v="47"/>
    <n v="6973.68"/>
    <n v="4051.32"/>
    <x v="21"/>
    <n v="3.5"/>
    <n v="5"/>
    <x v="0"/>
    <s v="Gold"/>
    <s v="Refunded"/>
    <n v="12.97"/>
    <n v="77.59"/>
    <n v="12150"/>
    <x v="47"/>
    <n v="11586"/>
    <x v="48"/>
    <x v="3"/>
  </r>
  <r>
    <n v="1049"/>
    <s v="Starbucks Bengaluru"/>
    <s v="India"/>
    <x v="0"/>
    <s v="Bengaluru"/>
    <s v="South"/>
    <x v="41"/>
    <x v="2"/>
    <x v="0"/>
    <x v="5"/>
    <s v="Asha"/>
    <n v="38"/>
    <x v="48"/>
    <n v="6084.32"/>
    <n v="2617.6799999999998"/>
    <x v="42"/>
    <n v="4.3"/>
    <n v="15"/>
    <x v="0"/>
    <s v="Gold"/>
    <s v="Refunded"/>
    <n v="12.97"/>
    <n v="77.59"/>
    <n v="7095"/>
    <x v="48"/>
    <n v="6012"/>
    <x v="49"/>
    <x v="3"/>
  </r>
  <r>
    <n v="1050"/>
    <s v="Starbucks New Delhi"/>
    <s v="India"/>
    <x v="1"/>
    <s v="New Delhi"/>
    <s v="North"/>
    <x v="9"/>
    <x v="3"/>
    <x v="3"/>
    <x v="7"/>
    <s v="Rahul"/>
    <n v="21"/>
    <x v="49"/>
    <n v="4804.4399999999996"/>
    <n v="3616.56"/>
    <x v="43"/>
    <n v="4.5"/>
    <n v="10"/>
    <x v="1"/>
    <s v="Regular"/>
    <s v="Refunded"/>
    <n v="28.61"/>
    <n v="77.2"/>
    <n v="11804"/>
    <x v="49"/>
    <n v="10198"/>
    <x v="50"/>
    <x v="3"/>
  </r>
  <r>
    <n v="1051"/>
    <s v="Starbucks Mumbai"/>
    <s v="India"/>
    <x v="2"/>
    <s v="Mumbai"/>
    <s v="West"/>
    <x v="42"/>
    <x v="3"/>
    <x v="2"/>
    <x v="4"/>
    <s v="Rahul"/>
    <n v="57"/>
    <x v="50"/>
    <n v="9126.35"/>
    <n v="5807.65"/>
    <x v="7"/>
    <n v="4"/>
    <n v="10"/>
    <x v="2"/>
    <s v="Regular"/>
    <s v="Completed"/>
    <n v="19.07"/>
    <n v="72.87"/>
    <n v="7095"/>
    <x v="50"/>
    <n v="5145"/>
    <x v="51"/>
    <x v="0"/>
  </r>
  <r>
    <n v="1052"/>
    <s v="Starbucks New Delhi"/>
    <s v="India"/>
    <x v="1"/>
    <s v="New Delhi"/>
    <s v="North"/>
    <x v="43"/>
    <x v="2"/>
    <x v="3"/>
    <x v="6"/>
    <s v="Anu"/>
    <n v="36"/>
    <x v="51"/>
    <n v="8055.68"/>
    <n v="5336.32"/>
    <x v="44"/>
    <n v="3.9"/>
    <n v="5"/>
    <x v="2"/>
    <s v="Gold"/>
    <s v="Refunded"/>
    <n v="28.61"/>
    <n v="77.2"/>
    <n v="9144"/>
    <x v="51"/>
    <n v="7286"/>
    <x v="50"/>
    <x v="0"/>
  </r>
  <r>
    <n v="1053"/>
    <s v="Starbucks New Delhi"/>
    <s v="India"/>
    <x v="1"/>
    <s v="New Delhi"/>
    <s v="North"/>
    <x v="2"/>
    <x v="2"/>
    <x v="3"/>
    <x v="7"/>
    <s v="Asha"/>
    <n v="29"/>
    <x v="52"/>
    <n v="3507.56"/>
    <n v="2176.44"/>
    <x v="45"/>
    <n v="4.5"/>
    <n v="0"/>
    <x v="2"/>
    <s v="Gold"/>
    <s v="Completed"/>
    <n v="28.61"/>
    <n v="77.2"/>
    <n v="7960"/>
    <x v="52"/>
    <n v="6430"/>
    <x v="52"/>
    <x v="0"/>
  </r>
  <r>
    <n v="1054"/>
    <s v="Starbucks Chennai"/>
    <s v="India"/>
    <x v="3"/>
    <s v="Chennai"/>
    <s v="South"/>
    <x v="44"/>
    <x v="0"/>
    <x v="0"/>
    <x v="5"/>
    <s v="Anu"/>
    <n v="48"/>
    <x v="53"/>
    <n v="8295.25"/>
    <n v="4424.75"/>
    <x v="46"/>
    <n v="4.5999999999999996"/>
    <n v="10"/>
    <x v="1"/>
    <s v="Regular"/>
    <s v="Completed"/>
    <n v="13.08"/>
    <n v="80.27"/>
    <n v="7806"/>
    <x v="53"/>
    <n v="7243"/>
    <x v="53"/>
    <x v="0"/>
  </r>
  <r>
    <n v="1055"/>
    <s v="Starbucks New Delhi"/>
    <s v="India"/>
    <x v="1"/>
    <s v="New Delhi"/>
    <s v="North"/>
    <x v="45"/>
    <x v="3"/>
    <x v="3"/>
    <x v="6"/>
    <s v="Anu"/>
    <n v="7"/>
    <x v="54"/>
    <n v="849.94"/>
    <n v="522.05999999999995"/>
    <x v="47"/>
    <n v="3.8"/>
    <n v="5"/>
    <x v="1"/>
    <s v="Premium"/>
    <s v="Refunded"/>
    <n v="28.61"/>
    <n v="77.2"/>
    <n v="14974"/>
    <x v="54"/>
    <n v="13310"/>
    <x v="54"/>
    <x v="0"/>
  </r>
  <r>
    <n v="1056"/>
    <s v="Starbucks Kochi"/>
    <s v="India"/>
    <x v="4"/>
    <s v="Kochi"/>
    <s v="South"/>
    <x v="40"/>
    <x v="3"/>
    <x v="0"/>
    <x v="0"/>
    <s v="Rahul"/>
    <n v="12"/>
    <x v="55"/>
    <n v="1870.9"/>
    <n v="793.1"/>
    <x v="48"/>
    <n v="3.9"/>
    <n v="15"/>
    <x v="0"/>
    <s v="Premium"/>
    <s v="Completed"/>
    <n v="9.93"/>
    <n v="76.260000000000005"/>
    <n v="12177"/>
    <x v="55"/>
    <n v="10822"/>
    <x v="55"/>
    <x v="1"/>
  </r>
  <r>
    <n v="1057"/>
    <s v="Starbucks Bengaluru"/>
    <s v="India"/>
    <x v="0"/>
    <s v="Bengaluru"/>
    <s v="South"/>
    <x v="12"/>
    <x v="4"/>
    <x v="0"/>
    <x v="1"/>
    <s v="Vivek"/>
    <n v="42"/>
    <x v="56"/>
    <n v="9035.44"/>
    <n v="3354.56"/>
    <x v="49"/>
    <n v="4.9000000000000004"/>
    <n v="5"/>
    <x v="2"/>
    <s v="Regular"/>
    <s v="Completed"/>
    <n v="12.97"/>
    <n v="77.59"/>
    <n v="6828"/>
    <x v="56"/>
    <n v="5471"/>
    <x v="56"/>
    <x v="1"/>
  </r>
  <r>
    <n v="1058"/>
    <s v="Starbucks Kochi"/>
    <s v="India"/>
    <x v="4"/>
    <s v="Kochi"/>
    <s v="South"/>
    <x v="42"/>
    <x v="3"/>
    <x v="0"/>
    <x v="0"/>
    <s v="Rahul"/>
    <n v="8"/>
    <x v="57"/>
    <n v="1859.85"/>
    <n v="932.15"/>
    <x v="50"/>
    <n v="4.4000000000000004"/>
    <n v="15"/>
    <x v="2"/>
    <s v="Gold"/>
    <s v="Refunded"/>
    <n v="9.93"/>
    <n v="76.260000000000005"/>
    <n v="9741"/>
    <x v="57"/>
    <n v="8401"/>
    <x v="57"/>
    <x v="0"/>
  </r>
  <r>
    <n v="1059"/>
    <s v="Starbucks Mumbai"/>
    <s v="India"/>
    <x v="2"/>
    <s v="Mumbai"/>
    <s v="West"/>
    <x v="46"/>
    <x v="1"/>
    <x v="3"/>
    <x v="7"/>
    <s v="Anu"/>
    <n v="18"/>
    <x v="58"/>
    <n v="4601.32"/>
    <n v="1248.68"/>
    <x v="51"/>
    <n v="4.3"/>
    <n v="10"/>
    <x v="0"/>
    <s v="Gold"/>
    <s v="Cancelled"/>
    <n v="19.07"/>
    <n v="72.87"/>
    <n v="11101"/>
    <x v="58"/>
    <n v="10428"/>
    <x v="58"/>
    <x v="0"/>
  </r>
  <r>
    <n v="1060"/>
    <s v="Starbucks New Delhi"/>
    <s v="India"/>
    <x v="1"/>
    <s v="New Delhi"/>
    <s v="North"/>
    <x v="13"/>
    <x v="4"/>
    <x v="2"/>
    <x v="4"/>
    <s v="Neha"/>
    <n v="48"/>
    <x v="59"/>
    <n v="8872.64"/>
    <n v="2743.36"/>
    <x v="52"/>
    <n v="4.3"/>
    <n v="5"/>
    <x v="2"/>
    <s v="Gold"/>
    <s v="Completed"/>
    <n v="28.61"/>
    <n v="77.2"/>
    <n v="13308"/>
    <x v="59"/>
    <n v="12185"/>
    <x v="59"/>
    <x v="0"/>
  </r>
  <r>
    <n v="1061"/>
    <s v="Starbucks Chennai"/>
    <s v="India"/>
    <x v="3"/>
    <s v="Chennai"/>
    <s v="South"/>
    <x v="47"/>
    <x v="2"/>
    <x v="1"/>
    <x v="8"/>
    <s v="Neha"/>
    <n v="51"/>
    <x v="60"/>
    <n v="9701.3700000000008"/>
    <n v="2895.63"/>
    <x v="1"/>
    <n v="3.8"/>
    <n v="0"/>
    <x v="0"/>
    <s v="Premium"/>
    <s v="Cancelled"/>
    <n v="13.08"/>
    <n v="80.27"/>
    <n v="6070"/>
    <x v="60"/>
    <n v="5032"/>
    <x v="60"/>
    <x v="0"/>
  </r>
  <r>
    <n v="1062"/>
    <s v="Starbucks Chennai"/>
    <s v="India"/>
    <x v="3"/>
    <s v="Chennai"/>
    <s v="South"/>
    <x v="48"/>
    <x v="3"/>
    <x v="3"/>
    <x v="6"/>
    <s v="Rahul"/>
    <n v="35"/>
    <x v="61"/>
    <n v="5886.86"/>
    <n v="4753.1400000000003"/>
    <x v="53"/>
    <n v="3.9"/>
    <n v="15"/>
    <x v="0"/>
    <s v="Gold"/>
    <s v="Cancelled"/>
    <n v="13.08"/>
    <n v="80.27"/>
    <n v="14163"/>
    <x v="61"/>
    <n v="13223"/>
    <x v="61"/>
    <x v="0"/>
  </r>
  <r>
    <n v="1063"/>
    <s v="Starbucks Kochi"/>
    <s v="India"/>
    <x v="4"/>
    <s v="Kochi"/>
    <s v="South"/>
    <x v="49"/>
    <x v="5"/>
    <x v="2"/>
    <x v="4"/>
    <s v="Anu"/>
    <n v="36"/>
    <x v="62"/>
    <n v="5223.12"/>
    <n v="3380.88"/>
    <x v="54"/>
    <n v="5"/>
    <n v="15"/>
    <x v="2"/>
    <s v="Gold"/>
    <s v="Refunded"/>
    <n v="9.93"/>
    <n v="76.260000000000005"/>
    <n v="14842"/>
    <x v="62"/>
    <n v="13430"/>
    <x v="62"/>
    <x v="1"/>
  </r>
  <r>
    <n v="1064"/>
    <s v="Starbucks Chennai"/>
    <s v="India"/>
    <x v="3"/>
    <s v="Chennai"/>
    <s v="South"/>
    <x v="50"/>
    <x v="2"/>
    <x v="2"/>
    <x v="4"/>
    <s v="Rahul"/>
    <n v="16"/>
    <x v="63"/>
    <n v="2488.23"/>
    <n v="903.77"/>
    <x v="55"/>
    <n v="4.4000000000000004"/>
    <n v="15"/>
    <x v="2"/>
    <s v="Premium"/>
    <s v="Cancelled"/>
    <n v="13.08"/>
    <n v="80.27"/>
    <n v="11990"/>
    <x v="63"/>
    <n v="10809"/>
    <x v="63"/>
    <x v="0"/>
  </r>
  <r>
    <n v="1065"/>
    <s v="Starbucks Mumbai"/>
    <s v="India"/>
    <x v="2"/>
    <s v="Mumbai"/>
    <s v="West"/>
    <x v="51"/>
    <x v="2"/>
    <x v="2"/>
    <x v="3"/>
    <s v="Anu"/>
    <n v="9"/>
    <x v="64"/>
    <n v="1319.52"/>
    <n v="399.48"/>
    <x v="56"/>
    <n v="4"/>
    <n v="5"/>
    <x v="1"/>
    <s v="Regular"/>
    <s v="Cancelled"/>
    <n v="19.07"/>
    <n v="72.87"/>
    <n v="11513"/>
    <x v="64"/>
    <n v="10977"/>
    <x v="64"/>
    <x v="0"/>
  </r>
  <r>
    <n v="1066"/>
    <s v="Starbucks Kochi"/>
    <s v="India"/>
    <x v="4"/>
    <s v="Kochi"/>
    <s v="South"/>
    <x v="48"/>
    <x v="3"/>
    <x v="3"/>
    <x v="7"/>
    <s v="Rahul"/>
    <n v="53"/>
    <x v="65"/>
    <n v="13049.01"/>
    <n v="4970.99"/>
    <x v="57"/>
    <n v="3.9"/>
    <n v="10"/>
    <x v="1"/>
    <s v="Regular"/>
    <s v="Refunded"/>
    <n v="9.93"/>
    <n v="76.260000000000005"/>
    <n v="6367"/>
    <x v="65"/>
    <n v="4815"/>
    <x v="65"/>
    <x v="2"/>
  </r>
  <r>
    <n v="1067"/>
    <s v="Starbucks Mumbai"/>
    <s v="India"/>
    <x v="2"/>
    <s v="Mumbai"/>
    <s v="West"/>
    <x v="52"/>
    <x v="5"/>
    <x v="1"/>
    <x v="2"/>
    <s v="Asha"/>
    <n v="22"/>
    <x v="66"/>
    <n v="2635.16"/>
    <n v="1610.84"/>
    <x v="58"/>
    <n v="4.4000000000000004"/>
    <n v="15"/>
    <x v="2"/>
    <s v="Regular"/>
    <s v="Refunded"/>
    <n v="19.07"/>
    <n v="72.87"/>
    <n v="12686"/>
    <x v="66"/>
    <n v="11693"/>
    <x v="66"/>
    <x v="0"/>
  </r>
  <r>
    <n v="1068"/>
    <s v="Starbucks Bengaluru"/>
    <s v="India"/>
    <x v="0"/>
    <s v="Bengaluru"/>
    <s v="South"/>
    <x v="53"/>
    <x v="4"/>
    <x v="2"/>
    <x v="4"/>
    <s v="Anu"/>
    <n v="7"/>
    <x v="67"/>
    <n v="1219.76"/>
    <n v="481.24"/>
    <x v="52"/>
    <n v="4.0999999999999996"/>
    <n v="0"/>
    <x v="2"/>
    <s v="Gold"/>
    <s v="Completed"/>
    <n v="12.97"/>
    <n v="77.59"/>
    <n v="9149"/>
    <x v="67"/>
    <n v="8023"/>
    <x v="67"/>
    <x v="2"/>
  </r>
  <r>
    <n v="1069"/>
    <s v="Starbucks Bengaluru"/>
    <s v="India"/>
    <x v="0"/>
    <s v="Bengaluru"/>
    <s v="South"/>
    <x v="30"/>
    <x v="5"/>
    <x v="1"/>
    <x v="8"/>
    <s v="Anu"/>
    <n v="33"/>
    <x v="68"/>
    <n v="7665.92"/>
    <n v="3455.08"/>
    <x v="59"/>
    <n v="4.2"/>
    <n v="10"/>
    <x v="0"/>
    <s v="Regular"/>
    <s v="Refunded"/>
    <n v="12.97"/>
    <n v="77.59"/>
    <n v="8080"/>
    <x v="68"/>
    <n v="6147"/>
    <x v="68"/>
    <x v="3"/>
  </r>
  <r>
    <n v="1070"/>
    <s v="Starbucks Kochi"/>
    <s v="India"/>
    <x v="4"/>
    <s v="Kochi"/>
    <s v="South"/>
    <x v="53"/>
    <x v="4"/>
    <x v="3"/>
    <x v="6"/>
    <s v="Anu"/>
    <n v="44"/>
    <x v="69"/>
    <n v="8473.15"/>
    <n v="5694.85"/>
    <x v="60"/>
    <n v="4.5"/>
    <n v="15"/>
    <x v="0"/>
    <s v="Premium"/>
    <s v="Cancelled"/>
    <n v="9.93"/>
    <n v="76.260000000000005"/>
    <n v="14591"/>
    <x v="69"/>
    <n v="13647"/>
    <x v="69"/>
    <x v="2"/>
  </r>
  <r>
    <n v="1071"/>
    <s v="Starbucks New Delhi"/>
    <s v="India"/>
    <x v="1"/>
    <s v="New Delhi"/>
    <s v="North"/>
    <x v="54"/>
    <x v="5"/>
    <x v="3"/>
    <x v="6"/>
    <s v="Rahul"/>
    <n v="45"/>
    <x v="70"/>
    <n v="13962.62"/>
    <n v="4307.38"/>
    <x v="61"/>
    <n v="4.2"/>
    <n v="5"/>
    <x v="1"/>
    <s v="Gold"/>
    <s v="Cancelled"/>
    <n v="28.61"/>
    <n v="77.2"/>
    <n v="13196"/>
    <x v="70"/>
    <n v="11658"/>
    <x v="70"/>
    <x v="3"/>
  </r>
  <r>
    <n v="1072"/>
    <s v="Starbucks Mumbai"/>
    <s v="India"/>
    <x v="2"/>
    <s v="Mumbai"/>
    <s v="West"/>
    <x v="55"/>
    <x v="5"/>
    <x v="3"/>
    <x v="6"/>
    <s v="Asha"/>
    <n v="35"/>
    <x v="71"/>
    <n v="7377.47"/>
    <n v="2597.5300000000002"/>
    <x v="62"/>
    <n v="4.5"/>
    <n v="10"/>
    <x v="1"/>
    <s v="Premium"/>
    <s v="Refunded"/>
    <n v="19.07"/>
    <n v="72.87"/>
    <n v="6072"/>
    <x v="71"/>
    <n v="5188"/>
    <x v="71"/>
    <x v="0"/>
  </r>
  <r>
    <n v="1073"/>
    <s v="Starbucks Mumbai"/>
    <s v="India"/>
    <x v="2"/>
    <s v="Mumbai"/>
    <s v="West"/>
    <x v="36"/>
    <x v="3"/>
    <x v="0"/>
    <x v="1"/>
    <s v="Anu"/>
    <n v="43"/>
    <x v="72"/>
    <n v="8443.4699999999993"/>
    <n v="2220.5300000000002"/>
    <x v="63"/>
    <n v="3.9"/>
    <n v="5"/>
    <x v="0"/>
    <s v="Regular"/>
    <s v="Completed"/>
    <n v="19.07"/>
    <n v="72.87"/>
    <n v="5507"/>
    <x v="72"/>
    <n v="4193"/>
    <x v="72"/>
    <x v="1"/>
  </r>
  <r>
    <n v="1074"/>
    <s v="Starbucks New Delhi"/>
    <s v="India"/>
    <x v="1"/>
    <s v="New Delhi"/>
    <s v="North"/>
    <x v="56"/>
    <x v="4"/>
    <x v="3"/>
    <x v="6"/>
    <s v="Vivek"/>
    <n v="21"/>
    <x v="73"/>
    <n v="2445.5500000000002"/>
    <n v="1523.45"/>
    <x v="57"/>
    <n v="4.3"/>
    <n v="5"/>
    <x v="1"/>
    <s v="Regular"/>
    <s v="Refunded"/>
    <n v="28.61"/>
    <n v="77.2"/>
    <n v="14907"/>
    <x v="73"/>
    <n v="13939"/>
    <x v="73"/>
    <x v="2"/>
  </r>
  <r>
    <n v="1075"/>
    <s v="Starbucks Bengaluru"/>
    <s v="India"/>
    <x v="0"/>
    <s v="Bengaluru"/>
    <s v="South"/>
    <x v="57"/>
    <x v="2"/>
    <x v="2"/>
    <x v="4"/>
    <s v="Rahul"/>
    <n v="39"/>
    <x v="74"/>
    <n v="5569.07"/>
    <n v="4336.93"/>
    <x v="51"/>
    <n v="4.8"/>
    <n v="0"/>
    <x v="0"/>
    <s v="Regular"/>
    <s v="Completed"/>
    <n v="12.97"/>
    <n v="77.59"/>
    <n v="6186"/>
    <x v="74"/>
    <n v="5626"/>
    <x v="74"/>
    <x v="0"/>
  </r>
  <r>
    <n v="1076"/>
    <s v="Starbucks Kochi"/>
    <s v="India"/>
    <x v="4"/>
    <s v="Kochi"/>
    <s v="South"/>
    <x v="58"/>
    <x v="5"/>
    <x v="1"/>
    <x v="8"/>
    <s v="Anu"/>
    <n v="55"/>
    <x v="75"/>
    <n v="16331.74"/>
    <n v="5118.26"/>
    <x v="43"/>
    <n v="4.5"/>
    <n v="15"/>
    <x v="2"/>
    <s v="Premium"/>
    <s v="Cancelled"/>
    <n v="9.93"/>
    <n v="76.260000000000005"/>
    <n v="10954"/>
    <x v="75"/>
    <n v="9795"/>
    <x v="75"/>
    <x v="3"/>
  </r>
  <r>
    <n v="1077"/>
    <s v="Starbucks Chennai"/>
    <s v="India"/>
    <x v="3"/>
    <s v="Chennai"/>
    <s v="South"/>
    <x v="33"/>
    <x v="5"/>
    <x v="0"/>
    <x v="0"/>
    <s v="Neha"/>
    <n v="8"/>
    <x v="76"/>
    <n v="1202.04"/>
    <n v="397.96"/>
    <x v="11"/>
    <n v="3.8"/>
    <n v="0"/>
    <x v="0"/>
    <s v="Regular"/>
    <s v="Refunded"/>
    <n v="13.08"/>
    <n v="80.27"/>
    <n v="14885"/>
    <x v="76"/>
    <n v="12933"/>
    <x v="76"/>
    <x v="2"/>
  </r>
  <r>
    <n v="1078"/>
    <s v="Starbucks Bengaluru"/>
    <s v="India"/>
    <x v="0"/>
    <s v="Bengaluru"/>
    <s v="South"/>
    <x v="59"/>
    <x v="0"/>
    <x v="0"/>
    <x v="1"/>
    <s v="Vivek"/>
    <n v="11"/>
    <x v="77"/>
    <n v="1828.54"/>
    <n v="1471.46"/>
    <x v="64"/>
    <n v="4.0999999999999996"/>
    <n v="0"/>
    <x v="1"/>
    <s v="Regular"/>
    <s v="Cancelled"/>
    <n v="12.97"/>
    <n v="77.59"/>
    <n v="14414"/>
    <x v="77"/>
    <n v="13076"/>
    <x v="77"/>
    <x v="0"/>
  </r>
  <r>
    <n v="1079"/>
    <s v="Starbucks Chennai"/>
    <s v="India"/>
    <x v="3"/>
    <s v="Chennai"/>
    <s v="South"/>
    <x v="57"/>
    <x v="2"/>
    <x v="3"/>
    <x v="6"/>
    <s v="Rahul"/>
    <n v="60"/>
    <x v="78"/>
    <n v="15306.14"/>
    <n v="7673.86"/>
    <x v="65"/>
    <n v="4.5999999999999996"/>
    <n v="5"/>
    <x v="1"/>
    <s v="Regular"/>
    <s v="Cancelled"/>
    <n v="13.08"/>
    <n v="80.27"/>
    <n v="11758"/>
    <x v="78"/>
    <n v="10697"/>
    <x v="78"/>
    <x v="0"/>
  </r>
  <r>
    <n v="1080"/>
    <s v="Starbucks Mumbai"/>
    <s v="India"/>
    <x v="2"/>
    <s v="Mumbai"/>
    <s v="West"/>
    <x v="60"/>
    <x v="4"/>
    <x v="3"/>
    <x v="6"/>
    <s v="Rahul"/>
    <n v="9"/>
    <x v="79"/>
    <n v="1237.5999999999999"/>
    <n v="895.4"/>
    <x v="66"/>
    <n v="3.6"/>
    <n v="10"/>
    <x v="0"/>
    <s v="Gold"/>
    <s v="Cancelled"/>
    <n v="19.07"/>
    <n v="72.87"/>
    <n v="6473"/>
    <x v="79"/>
    <n v="5123"/>
    <x v="79"/>
    <x v="0"/>
  </r>
  <r>
    <n v="1081"/>
    <s v="Starbucks Kochi"/>
    <s v="India"/>
    <x v="4"/>
    <s v="Kochi"/>
    <s v="South"/>
    <x v="61"/>
    <x v="1"/>
    <x v="0"/>
    <x v="1"/>
    <s v="Rahul"/>
    <n v="27"/>
    <x v="80"/>
    <n v="4304.42"/>
    <n v="2229.58"/>
    <x v="40"/>
    <n v="3.8"/>
    <n v="15"/>
    <x v="0"/>
    <s v="Premium"/>
    <s v="Completed"/>
    <n v="9.93"/>
    <n v="76.260000000000005"/>
    <n v="13931"/>
    <x v="80"/>
    <n v="11972"/>
    <x v="80"/>
    <x v="0"/>
  </r>
  <r>
    <n v="1082"/>
    <s v="Starbucks Chennai"/>
    <s v="India"/>
    <x v="3"/>
    <s v="Chennai"/>
    <s v="South"/>
    <x v="13"/>
    <x v="4"/>
    <x v="1"/>
    <x v="2"/>
    <s v="Anu"/>
    <n v="57"/>
    <x v="81"/>
    <n v="6960.99"/>
    <n v="3641.01"/>
    <x v="67"/>
    <n v="3.5"/>
    <n v="5"/>
    <x v="1"/>
    <s v="Gold"/>
    <s v="Cancelled"/>
    <n v="13.08"/>
    <n v="80.27"/>
    <n v="10168"/>
    <x v="81"/>
    <n v="8893"/>
    <x v="81"/>
    <x v="1"/>
  </r>
  <r>
    <n v="1083"/>
    <s v="Starbucks Mumbai"/>
    <s v="India"/>
    <x v="2"/>
    <s v="Mumbai"/>
    <s v="West"/>
    <x v="62"/>
    <x v="3"/>
    <x v="2"/>
    <x v="4"/>
    <s v="Neha"/>
    <n v="35"/>
    <x v="82"/>
    <n v="5725.01"/>
    <n v="2429.9899999999998"/>
    <x v="47"/>
    <n v="4.7"/>
    <n v="15"/>
    <x v="1"/>
    <s v="Gold"/>
    <s v="Refunded"/>
    <n v="19.07"/>
    <n v="72.87"/>
    <n v="6147"/>
    <x v="82"/>
    <n v="5593"/>
    <x v="82"/>
    <x v="3"/>
  </r>
  <r>
    <n v="1084"/>
    <s v="Starbucks Bengaluru"/>
    <s v="India"/>
    <x v="0"/>
    <s v="Bengaluru"/>
    <s v="South"/>
    <x v="63"/>
    <x v="4"/>
    <x v="1"/>
    <x v="2"/>
    <s v="Asha"/>
    <n v="37"/>
    <x v="83"/>
    <n v="4956.92"/>
    <n v="2628.08"/>
    <x v="68"/>
    <n v="5"/>
    <n v="10"/>
    <x v="2"/>
    <s v="Premium"/>
    <s v="Completed"/>
    <n v="12.97"/>
    <n v="77.59"/>
    <n v="13662"/>
    <x v="83"/>
    <n v="12571"/>
    <x v="83"/>
    <x v="2"/>
  </r>
  <r>
    <n v="1085"/>
    <s v="Starbucks Bengaluru"/>
    <s v="India"/>
    <x v="0"/>
    <s v="Bengaluru"/>
    <s v="South"/>
    <x v="64"/>
    <x v="0"/>
    <x v="3"/>
    <x v="7"/>
    <s v="Asha"/>
    <n v="19"/>
    <x v="84"/>
    <n v="4122.3999999999996"/>
    <n v="3344.6"/>
    <x v="22"/>
    <n v="4"/>
    <n v="15"/>
    <x v="0"/>
    <s v="Gold"/>
    <s v="Completed"/>
    <n v="12.97"/>
    <n v="77.59"/>
    <n v="10635"/>
    <x v="84"/>
    <n v="8961"/>
    <x v="84"/>
    <x v="3"/>
  </r>
  <r>
    <n v="1086"/>
    <s v="Starbucks Mumbai"/>
    <s v="India"/>
    <x v="2"/>
    <s v="Mumbai"/>
    <s v="West"/>
    <x v="65"/>
    <x v="3"/>
    <x v="0"/>
    <x v="1"/>
    <s v="Anu"/>
    <n v="54"/>
    <x v="85"/>
    <n v="10993.01"/>
    <n v="6502.99"/>
    <x v="69"/>
    <n v="3.9"/>
    <n v="15"/>
    <x v="0"/>
    <s v="Regular"/>
    <s v="Refunded"/>
    <n v="19.07"/>
    <n v="72.87"/>
    <n v="8256"/>
    <x v="85"/>
    <n v="7469"/>
    <x v="85"/>
    <x v="1"/>
  </r>
  <r>
    <n v="1087"/>
    <s v="Starbucks Kochi"/>
    <s v="India"/>
    <x v="4"/>
    <s v="Kochi"/>
    <s v="South"/>
    <x v="66"/>
    <x v="3"/>
    <x v="3"/>
    <x v="7"/>
    <s v="Neha"/>
    <n v="29"/>
    <x v="86"/>
    <n v="7772.12"/>
    <n v="3160.88"/>
    <x v="70"/>
    <n v="4.8"/>
    <n v="10"/>
    <x v="1"/>
    <s v="Gold"/>
    <s v="Cancelled"/>
    <n v="9.93"/>
    <n v="76.260000000000005"/>
    <n v="14148"/>
    <x v="86"/>
    <n v="12269"/>
    <x v="86"/>
    <x v="0"/>
  </r>
  <r>
    <n v="1088"/>
    <s v="Starbucks Bengaluru"/>
    <s v="India"/>
    <x v="0"/>
    <s v="Bengaluru"/>
    <s v="South"/>
    <x v="67"/>
    <x v="0"/>
    <x v="1"/>
    <x v="8"/>
    <s v="Asha"/>
    <n v="21"/>
    <x v="87"/>
    <n v="3232.31"/>
    <n v="1219.69"/>
    <x v="71"/>
    <n v="4.2"/>
    <n v="0"/>
    <x v="0"/>
    <s v="Premium"/>
    <s v="Completed"/>
    <n v="12.97"/>
    <n v="77.59"/>
    <n v="11635"/>
    <x v="87"/>
    <n v="9949"/>
    <x v="87"/>
    <x v="1"/>
  </r>
  <r>
    <n v="1089"/>
    <s v="Starbucks Mumbai"/>
    <s v="India"/>
    <x v="2"/>
    <s v="Mumbai"/>
    <s v="West"/>
    <x v="68"/>
    <x v="0"/>
    <x v="0"/>
    <x v="1"/>
    <s v="Rahul"/>
    <n v="23"/>
    <x v="88"/>
    <n v="5201.3999999999996"/>
    <n v="4136.6000000000004"/>
    <x v="72"/>
    <n v="4"/>
    <n v="5"/>
    <x v="0"/>
    <s v="Gold"/>
    <s v="Cancelled"/>
    <n v="19.07"/>
    <n v="72.87"/>
    <n v="14087"/>
    <x v="88"/>
    <n v="12546"/>
    <x v="88"/>
    <x v="2"/>
  </r>
  <r>
    <n v="1090"/>
    <s v="Starbucks Mumbai"/>
    <s v="India"/>
    <x v="2"/>
    <s v="Mumbai"/>
    <s v="West"/>
    <x v="69"/>
    <x v="3"/>
    <x v="3"/>
    <x v="6"/>
    <s v="Neha"/>
    <n v="34"/>
    <x v="89"/>
    <n v="6801.12"/>
    <n v="2174.88"/>
    <x v="73"/>
    <n v="4.4000000000000004"/>
    <n v="5"/>
    <x v="2"/>
    <s v="Premium"/>
    <s v="Completed"/>
    <n v="19.07"/>
    <n v="72.87"/>
    <n v="9633"/>
    <x v="89"/>
    <n v="8824"/>
    <x v="89"/>
    <x v="3"/>
  </r>
  <r>
    <n v="1091"/>
    <s v="Starbucks Bengaluru"/>
    <s v="India"/>
    <x v="0"/>
    <s v="Bengaluru"/>
    <s v="South"/>
    <x v="70"/>
    <x v="3"/>
    <x v="3"/>
    <x v="7"/>
    <s v="Rahul"/>
    <n v="41"/>
    <x v="90"/>
    <n v="8882.67"/>
    <n v="5262.33"/>
    <x v="74"/>
    <n v="4"/>
    <n v="15"/>
    <x v="1"/>
    <s v="Regular"/>
    <s v="Refunded"/>
    <n v="12.97"/>
    <n v="77.59"/>
    <n v="11802"/>
    <x v="90"/>
    <n v="11044"/>
    <x v="90"/>
    <x v="2"/>
  </r>
  <r>
    <n v="1092"/>
    <s v="Starbucks Kochi"/>
    <s v="India"/>
    <x v="4"/>
    <s v="Kochi"/>
    <s v="South"/>
    <x v="71"/>
    <x v="2"/>
    <x v="2"/>
    <x v="4"/>
    <s v="Anu"/>
    <n v="60"/>
    <x v="91"/>
    <n v="11244.87"/>
    <n v="7535.13"/>
    <x v="5"/>
    <n v="4.2"/>
    <n v="0"/>
    <x v="2"/>
    <s v="Regular"/>
    <s v="Cancelled"/>
    <n v="9.93"/>
    <n v="76.260000000000005"/>
    <n v="12859"/>
    <x v="91"/>
    <n v="11110"/>
    <x v="91"/>
    <x v="1"/>
  </r>
  <r>
    <n v="1093"/>
    <s v="Starbucks Bengaluru"/>
    <s v="India"/>
    <x v="0"/>
    <s v="Bengaluru"/>
    <s v="South"/>
    <x v="72"/>
    <x v="1"/>
    <x v="3"/>
    <x v="7"/>
    <s v="Neha"/>
    <n v="7"/>
    <x v="92"/>
    <n v="1036.7"/>
    <n v="349.3"/>
    <x v="75"/>
    <n v="4.9000000000000004"/>
    <n v="15"/>
    <x v="2"/>
    <s v="Regular"/>
    <s v="Completed"/>
    <n v="12.97"/>
    <n v="77.59"/>
    <n v="12505"/>
    <x v="92"/>
    <n v="10581"/>
    <x v="92"/>
    <x v="0"/>
  </r>
  <r>
    <n v="1094"/>
    <s v="Starbucks Mumbai"/>
    <s v="India"/>
    <x v="2"/>
    <s v="Mumbai"/>
    <s v="West"/>
    <x v="48"/>
    <x v="3"/>
    <x v="3"/>
    <x v="6"/>
    <s v="Vivek"/>
    <n v="27"/>
    <x v="93"/>
    <n v="6288.52"/>
    <n v="3350.48"/>
    <x v="76"/>
    <n v="4.2"/>
    <n v="10"/>
    <x v="2"/>
    <s v="Regular"/>
    <s v="Cancelled"/>
    <n v="19.07"/>
    <n v="72.87"/>
    <n v="6021"/>
    <x v="93"/>
    <n v="5473"/>
    <x v="93"/>
    <x v="2"/>
  </r>
  <r>
    <n v="1095"/>
    <s v="Starbucks Kochi"/>
    <s v="India"/>
    <x v="4"/>
    <s v="Kochi"/>
    <s v="South"/>
    <x v="39"/>
    <x v="4"/>
    <x v="1"/>
    <x v="2"/>
    <s v="Asha"/>
    <n v="31"/>
    <x v="94"/>
    <n v="10184.549999999999"/>
    <n v="2556.4499999999998"/>
    <x v="77"/>
    <n v="4.9000000000000004"/>
    <n v="0"/>
    <x v="2"/>
    <s v="Premium"/>
    <s v="Cancelled"/>
    <n v="9.93"/>
    <n v="76.260000000000005"/>
    <n v="6888"/>
    <x v="94"/>
    <n v="4927"/>
    <x v="94"/>
    <x v="3"/>
  </r>
  <r>
    <n v="1096"/>
    <s v="Starbucks New Delhi"/>
    <s v="India"/>
    <x v="1"/>
    <s v="New Delhi"/>
    <s v="North"/>
    <x v="73"/>
    <x v="5"/>
    <x v="1"/>
    <x v="8"/>
    <s v="Vivek"/>
    <n v="52"/>
    <x v="95"/>
    <n v="11008.29"/>
    <n v="6879.71"/>
    <x v="78"/>
    <n v="3.5"/>
    <n v="5"/>
    <x v="1"/>
    <s v="Gold"/>
    <s v="Refunded"/>
    <n v="28.61"/>
    <n v="77.2"/>
    <n v="13028"/>
    <x v="95"/>
    <n v="11684"/>
    <x v="95"/>
    <x v="3"/>
  </r>
  <r>
    <n v="1097"/>
    <s v="Starbucks Kochi"/>
    <s v="India"/>
    <x v="4"/>
    <s v="Kochi"/>
    <s v="South"/>
    <x v="74"/>
    <x v="5"/>
    <x v="2"/>
    <x v="4"/>
    <s v="Neha"/>
    <n v="38"/>
    <x v="96"/>
    <n v="11865.9"/>
    <n v="3790.1"/>
    <x v="72"/>
    <n v="4.9000000000000004"/>
    <n v="5"/>
    <x v="0"/>
    <s v="Premium"/>
    <s v="Refunded"/>
    <n v="9.93"/>
    <n v="76.260000000000005"/>
    <n v="9326"/>
    <x v="96"/>
    <n v="7971"/>
    <x v="96"/>
    <x v="1"/>
  </r>
  <r>
    <n v="1098"/>
    <s v="Starbucks Kochi"/>
    <s v="India"/>
    <x v="4"/>
    <s v="Kochi"/>
    <s v="South"/>
    <x v="59"/>
    <x v="0"/>
    <x v="2"/>
    <x v="3"/>
    <s v="Anu"/>
    <n v="24"/>
    <x v="97"/>
    <n v="4147.8100000000004"/>
    <n v="3268.19"/>
    <x v="79"/>
    <n v="4.5999999999999996"/>
    <n v="5"/>
    <x v="0"/>
    <s v="Gold"/>
    <s v="Completed"/>
    <n v="9.93"/>
    <n v="76.260000000000005"/>
    <n v="9696"/>
    <x v="97"/>
    <n v="8361"/>
    <x v="97"/>
    <x v="1"/>
  </r>
  <r>
    <n v="1099"/>
    <s v="Starbucks Chennai"/>
    <s v="India"/>
    <x v="3"/>
    <s v="Chennai"/>
    <s v="South"/>
    <x v="58"/>
    <x v="5"/>
    <x v="0"/>
    <x v="1"/>
    <s v="Vivek"/>
    <n v="19"/>
    <x v="98"/>
    <n v="6236.07"/>
    <n v="1629.93"/>
    <x v="80"/>
    <n v="4"/>
    <n v="0"/>
    <x v="0"/>
    <s v="Regular"/>
    <s v="Refunded"/>
    <n v="13.08"/>
    <n v="80.27"/>
    <n v="9611"/>
    <x v="98"/>
    <n v="8844"/>
    <x v="98"/>
    <x v="1"/>
  </r>
  <r>
    <n v="1100"/>
    <s v="Starbucks Chennai"/>
    <s v="India"/>
    <x v="3"/>
    <s v="Chennai"/>
    <s v="South"/>
    <x v="75"/>
    <x v="4"/>
    <x v="0"/>
    <x v="1"/>
    <s v="Asha"/>
    <n v="40"/>
    <x v="99"/>
    <n v="11180.76"/>
    <n v="3939.24"/>
    <x v="76"/>
    <n v="4.2"/>
    <n v="15"/>
    <x v="2"/>
    <s v="Gold"/>
    <s v="Refunded"/>
    <n v="13.08"/>
    <n v="80.27"/>
    <n v="11722"/>
    <x v="99"/>
    <n v="10171"/>
    <x v="99"/>
    <x v="0"/>
  </r>
  <r>
    <n v="1101"/>
    <s v="Starbucks Bengaluru"/>
    <s v="India"/>
    <x v="0"/>
    <s v="Bengaluru"/>
    <s v="South"/>
    <x v="76"/>
    <x v="2"/>
    <x v="3"/>
    <x v="6"/>
    <s v="Neha"/>
    <n v="13"/>
    <x v="100"/>
    <n v="1670.23"/>
    <n v="1293.77"/>
    <x v="81"/>
    <n v="4.7"/>
    <n v="5"/>
    <x v="1"/>
    <s v="Regular"/>
    <s v="Cancelled"/>
    <n v="12.97"/>
    <n v="77.59"/>
    <n v="9912"/>
    <x v="100"/>
    <n v="8652"/>
    <x v="100"/>
    <x v="0"/>
  </r>
  <r>
    <n v="1102"/>
    <s v="Starbucks Bengaluru"/>
    <s v="India"/>
    <x v="0"/>
    <s v="Bengaluru"/>
    <s v="South"/>
    <x v="44"/>
    <x v="0"/>
    <x v="1"/>
    <x v="8"/>
    <s v="Asha"/>
    <n v="33"/>
    <x v="101"/>
    <n v="7640.02"/>
    <n v="5262.98"/>
    <x v="82"/>
    <n v="4"/>
    <n v="0"/>
    <x v="1"/>
    <s v="Gold"/>
    <s v="Completed"/>
    <n v="12.97"/>
    <n v="77.59"/>
    <n v="8030"/>
    <x v="101"/>
    <n v="6300"/>
    <x v="101"/>
    <x v="2"/>
  </r>
  <r>
    <n v="1103"/>
    <s v="Starbucks Kochi"/>
    <s v="India"/>
    <x v="4"/>
    <s v="Kochi"/>
    <s v="South"/>
    <x v="77"/>
    <x v="0"/>
    <x v="0"/>
    <x v="0"/>
    <s v="Neha"/>
    <n v="57"/>
    <x v="102"/>
    <n v="11305.65"/>
    <n v="6193.35"/>
    <x v="83"/>
    <n v="3.8"/>
    <n v="15"/>
    <x v="1"/>
    <s v="Gold"/>
    <s v="Refunded"/>
    <n v="9.93"/>
    <n v="76.260000000000005"/>
    <n v="13510"/>
    <x v="102"/>
    <n v="12417"/>
    <x v="102"/>
    <x v="1"/>
  </r>
  <r>
    <n v="1104"/>
    <s v="Starbucks Bengaluru"/>
    <s v="India"/>
    <x v="0"/>
    <s v="Bengaluru"/>
    <s v="South"/>
    <x v="11"/>
    <x v="0"/>
    <x v="1"/>
    <x v="8"/>
    <s v="Vivek"/>
    <n v="15"/>
    <x v="103"/>
    <n v="4138.99"/>
    <n v="1186.01"/>
    <x v="84"/>
    <n v="4"/>
    <n v="0"/>
    <x v="1"/>
    <s v="Regular"/>
    <s v="Completed"/>
    <n v="12.97"/>
    <n v="77.59"/>
    <n v="13337"/>
    <x v="103"/>
    <n v="11548"/>
    <x v="103"/>
    <x v="3"/>
  </r>
  <r>
    <n v="1105"/>
    <s v="Starbucks Kochi"/>
    <s v="India"/>
    <x v="4"/>
    <s v="Kochi"/>
    <s v="South"/>
    <x v="78"/>
    <x v="2"/>
    <x v="3"/>
    <x v="6"/>
    <s v="Rahul"/>
    <n v="27"/>
    <x v="104"/>
    <n v="5379.92"/>
    <n v="3962.08"/>
    <x v="85"/>
    <n v="4.4000000000000004"/>
    <n v="0"/>
    <x v="1"/>
    <s v="Premium"/>
    <s v="Refunded"/>
    <n v="9.93"/>
    <n v="76.260000000000005"/>
    <n v="10127"/>
    <x v="104"/>
    <n v="8706"/>
    <x v="104"/>
    <x v="3"/>
  </r>
  <r>
    <n v="1106"/>
    <s v="Starbucks Bengaluru"/>
    <s v="India"/>
    <x v="0"/>
    <s v="Bengaluru"/>
    <s v="South"/>
    <x v="79"/>
    <x v="3"/>
    <x v="0"/>
    <x v="0"/>
    <s v="Anu"/>
    <n v="55"/>
    <x v="105"/>
    <n v="13954.32"/>
    <n v="4360.68"/>
    <x v="86"/>
    <n v="3.8"/>
    <n v="10"/>
    <x v="2"/>
    <s v="Gold"/>
    <s v="Refunded"/>
    <n v="12.97"/>
    <n v="77.59"/>
    <n v="13606"/>
    <x v="105"/>
    <n v="12601"/>
    <x v="105"/>
    <x v="1"/>
  </r>
  <r>
    <n v="1107"/>
    <s v="Starbucks Mumbai"/>
    <s v="India"/>
    <x v="2"/>
    <s v="Mumbai"/>
    <s v="West"/>
    <x v="57"/>
    <x v="2"/>
    <x v="0"/>
    <x v="1"/>
    <s v="Rahul"/>
    <n v="12"/>
    <x v="106"/>
    <n v="3856.32"/>
    <n v="1003.68"/>
    <x v="20"/>
    <n v="3.9"/>
    <n v="0"/>
    <x v="2"/>
    <s v="Premium"/>
    <s v="Cancelled"/>
    <n v="19.07"/>
    <n v="72.87"/>
    <n v="5508"/>
    <x v="106"/>
    <n v="4941"/>
    <x v="106"/>
    <x v="0"/>
  </r>
  <r>
    <n v="1108"/>
    <s v="Starbucks Chennai"/>
    <s v="India"/>
    <x v="3"/>
    <s v="Chennai"/>
    <s v="South"/>
    <x v="80"/>
    <x v="0"/>
    <x v="3"/>
    <x v="6"/>
    <s v="Neha"/>
    <n v="17"/>
    <x v="107"/>
    <n v="2996.56"/>
    <n v="1797.44"/>
    <x v="87"/>
    <n v="4.4000000000000004"/>
    <n v="5"/>
    <x v="2"/>
    <s v="Premium"/>
    <s v="Cancelled"/>
    <n v="13.08"/>
    <n v="80.27"/>
    <n v="5830"/>
    <x v="107"/>
    <n v="4428"/>
    <x v="107"/>
    <x v="0"/>
  </r>
  <r>
    <n v="1109"/>
    <s v="Starbucks New Delhi"/>
    <s v="India"/>
    <x v="1"/>
    <s v="New Delhi"/>
    <s v="North"/>
    <x v="65"/>
    <x v="3"/>
    <x v="2"/>
    <x v="4"/>
    <s v="Rahul"/>
    <n v="15"/>
    <x v="108"/>
    <n v="4418.01"/>
    <n v="1596.99"/>
    <x v="88"/>
    <n v="4.7"/>
    <n v="5"/>
    <x v="0"/>
    <s v="Premium"/>
    <s v="Cancelled"/>
    <n v="28.61"/>
    <n v="77.2"/>
    <n v="6471"/>
    <x v="108"/>
    <n v="5543"/>
    <x v="108"/>
    <x v="3"/>
  </r>
  <r>
    <n v="1110"/>
    <s v="Starbucks Bengaluru"/>
    <s v="India"/>
    <x v="0"/>
    <s v="Bengaluru"/>
    <s v="South"/>
    <x v="81"/>
    <x v="5"/>
    <x v="0"/>
    <x v="5"/>
    <s v="Neha"/>
    <n v="39"/>
    <x v="109"/>
    <n v="9263.17"/>
    <n v="3645.83"/>
    <x v="20"/>
    <n v="3.6"/>
    <n v="15"/>
    <x v="1"/>
    <s v="Regular"/>
    <s v="Cancelled"/>
    <n v="12.97"/>
    <n v="77.59"/>
    <n v="7827"/>
    <x v="109"/>
    <n v="7127"/>
    <x v="67"/>
    <x v="2"/>
  </r>
  <r>
    <n v="1111"/>
    <s v="Starbucks Kochi"/>
    <s v="India"/>
    <x v="4"/>
    <s v="Kochi"/>
    <s v="South"/>
    <x v="50"/>
    <x v="2"/>
    <x v="3"/>
    <x v="6"/>
    <s v="Neha"/>
    <n v="31"/>
    <x v="110"/>
    <n v="9706.48"/>
    <n v="2941.52"/>
    <x v="89"/>
    <n v="5"/>
    <n v="15"/>
    <x v="2"/>
    <s v="Regular"/>
    <s v="Refunded"/>
    <n v="9.93"/>
    <n v="76.260000000000005"/>
    <n v="10338"/>
    <x v="110"/>
    <n v="8644"/>
    <x v="109"/>
    <x v="1"/>
  </r>
  <r>
    <n v="1112"/>
    <s v="Starbucks Chennai"/>
    <s v="India"/>
    <x v="3"/>
    <s v="Chennai"/>
    <s v="South"/>
    <x v="82"/>
    <x v="3"/>
    <x v="3"/>
    <x v="7"/>
    <s v="Anu"/>
    <n v="54"/>
    <x v="111"/>
    <n v="13073.67"/>
    <n v="3504.33"/>
    <x v="73"/>
    <n v="3.6"/>
    <n v="0"/>
    <x v="1"/>
    <s v="Regular"/>
    <s v="Completed"/>
    <n v="13.08"/>
    <n v="80.27"/>
    <n v="9806"/>
    <x v="111"/>
    <n v="8827"/>
    <x v="110"/>
    <x v="1"/>
  </r>
  <r>
    <n v="1113"/>
    <s v="Starbucks Bengaluru"/>
    <s v="India"/>
    <x v="0"/>
    <s v="Bengaluru"/>
    <s v="South"/>
    <x v="83"/>
    <x v="0"/>
    <x v="1"/>
    <x v="8"/>
    <s v="Neha"/>
    <n v="31"/>
    <x v="112"/>
    <n v="7025.67"/>
    <n v="2212.33"/>
    <x v="90"/>
    <n v="4.0999999999999996"/>
    <n v="0"/>
    <x v="0"/>
    <s v="Premium"/>
    <s v="Refunded"/>
    <n v="12.97"/>
    <n v="77.59"/>
    <n v="14076"/>
    <x v="112"/>
    <n v="12248"/>
    <x v="111"/>
    <x v="3"/>
  </r>
  <r>
    <n v="1114"/>
    <s v="Starbucks Kochi"/>
    <s v="India"/>
    <x v="4"/>
    <s v="Kochi"/>
    <s v="South"/>
    <x v="31"/>
    <x v="3"/>
    <x v="2"/>
    <x v="4"/>
    <s v="Anu"/>
    <n v="6"/>
    <x v="113"/>
    <n v="1212.7"/>
    <n v="377.3"/>
    <x v="91"/>
    <n v="4"/>
    <n v="5"/>
    <x v="1"/>
    <s v="Gold"/>
    <s v="Completed"/>
    <n v="9.93"/>
    <n v="76.260000000000005"/>
    <n v="14464"/>
    <x v="113"/>
    <n v="13032"/>
    <x v="112"/>
    <x v="3"/>
  </r>
  <r>
    <n v="1115"/>
    <s v="Starbucks New Delhi"/>
    <s v="India"/>
    <x v="1"/>
    <s v="New Delhi"/>
    <s v="North"/>
    <x v="45"/>
    <x v="3"/>
    <x v="2"/>
    <x v="4"/>
    <s v="Rahul"/>
    <n v="54"/>
    <x v="114"/>
    <n v="8480.06"/>
    <n v="3507.94"/>
    <x v="92"/>
    <n v="3.7"/>
    <n v="5"/>
    <x v="1"/>
    <s v="Premium"/>
    <s v="Completed"/>
    <n v="28.61"/>
    <n v="77.2"/>
    <n v="5422"/>
    <x v="114"/>
    <n v="4806"/>
    <x v="113"/>
    <x v="1"/>
  </r>
  <r>
    <n v="1116"/>
    <s v="Starbucks Mumbai"/>
    <s v="India"/>
    <x v="2"/>
    <s v="Mumbai"/>
    <s v="West"/>
    <x v="84"/>
    <x v="5"/>
    <x v="0"/>
    <x v="5"/>
    <s v="Anu"/>
    <n v="11"/>
    <x v="115"/>
    <n v="2356.66"/>
    <n v="1086.3399999999999"/>
    <x v="93"/>
    <n v="4.7"/>
    <n v="5"/>
    <x v="2"/>
    <s v="Premium"/>
    <s v="Cancelled"/>
    <n v="19.07"/>
    <n v="72.87"/>
    <n v="13599"/>
    <x v="115"/>
    <n v="12870"/>
    <x v="114"/>
    <x v="2"/>
  </r>
  <r>
    <n v="1117"/>
    <s v="Starbucks New Delhi"/>
    <s v="India"/>
    <x v="1"/>
    <s v="New Delhi"/>
    <s v="North"/>
    <x v="35"/>
    <x v="1"/>
    <x v="0"/>
    <x v="0"/>
    <s v="Vivek"/>
    <n v="45"/>
    <x v="116"/>
    <n v="7187.11"/>
    <n v="3027.89"/>
    <x v="75"/>
    <n v="4.4000000000000004"/>
    <n v="0"/>
    <x v="0"/>
    <s v="Gold"/>
    <s v="Refunded"/>
    <n v="28.61"/>
    <n v="77.2"/>
    <n v="7538"/>
    <x v="116"/>
    <n v="6894"/>
    <x v="115"/>
    <x v="0"/>
  </r>
  <r>
    <n v="1118"/>
    <s v="Starbucks Mumbai"/>
    <s v="India"/>
    <x v="2"/>
    <s v="Mumbai"/>
    <s v="West"/>
    <x v="4"/>
    <x v="0"/>
    <x v="1"/>
    <x v="8"/>
    <s v="Asha"/>
    <n v="19"/>
    <x v="117"/>
    <n v="3543.47"/>
    <n v="2118.5300000000002"/>
    <x v="63"/>
    <n v="4.5"/>
    <n v="10"/>
    <x v="0"/>
    <s v="Regular"/>
    <s v="Completed"/>
    <n v="19.07"/>
    <n v="72.87"/>
    <n v="9485"/>
    <x v="117"/>
    <n v="7989"/>
    <x v="116"/>
    <x v="2"/>
  </r>
  <r>
    <n v="1119"/>
    <s v="Starbucks New Delhi"/>
    <s v="India"/>
    <x v="1"/>
    <s v="New Delhi"/>
    <s v="North"/>
    <x v="6"/>
    <x v="3"/>
    <x v="1"/>
    <x v="2"/>
    <s v="Anu"/>
    <n v="49"/>
    <x v="118"/>
    <n v="9349.74"/>
    <n v="5742.26"/>
    <x v="92"/>
    <n v="4.9000000000000004"/>
    <n v="0"/>
    <x v="1"/>
    <s v="Premium"/>
    <s v="Cancelled"/>
    <n v="28.61"/>
    <n v="77.2"/>
    <n v="7241"/>
    <x v="118"/>
    <n v="5643"/>
    <x v="117"/>
    <x v="3"/>
  </r>
  <r>
    <n v="1120"/>
    <s v="Starbucks Chennai"/>
    <s v="India"/>
    <x v="3"/>
    <s v="Chennai"/>
    <s v="South"/>
    <x v="69"/>
    <x v="3"/>
    <x v="1"/>
    <x v="8"/>
    <s v="Rahul"/>
    <n v="33"/>
    <x v="119"/>
    <n v="6379.51"/>
    <n v="2662.49"/>
    <x v="94"/>
    <n v="4.8"/>
    <n v="5"/>
    <x v="1"/>
    <s v="Premium"/>
    <s v="Cancelled"/>
    <n v="13.08"/>
    <n v="80.27"/>
    <n v="6147"/>
    <x v="119"/>
    <n v="5256"/>
    <x v="118"/>
    <x v="1"/>
  </r>
  <r>
    <n v="1121"/>
    <s v="Starbucks Bengaluru"/>
    <s v="India"/>
    <x v="0"/>
    <s v="Bengaluru"/>
    <s v="South"/>
    <x v="85"/>
    <x v="3"/>
    <x v="3"/>
    <x v="6"/>
    <s v="Anu"/>
    <n v="42"/>
    <x v="99"/>
    <n v="9486.59"/>
    <n v="5633.41"/>
    <x v="95"/>
    <n v="4.0999999999999996"/>
    <n v="10"/>
    <x v="2"/>
    <s v="Gold"/>
    <s v="Completed"/>
    <n v="12.97"/>
    <n v="77.59"/>
    <n v="9893"/>
    <x v="120"/>
    <n v="8279"/>
    <x v="119"/>
    <x v="1"/>
  </r>
  <r>
    <n v="1122"/>
    <s v="Starbucks Chennai"/>
    <s v="India"/>
    <x v="3"/>
    <s v="Chennai"/>
    <s v="South"/>
    <x v="86"/>
    <x v="5"/>
    <x v="1"/>
    <x v="2"/>
    <s v="Rahul"/>
    <n v="38"/>
    <x v="120"/>
    <n v="9280.33"/>
    <n v="4779.67"/>
    <x v="96"/>
    <n v="4.9000000000000004"/>
    <n v="5"/>
    <x v="2"/>
    <s v="Regular"/>
    <s v="Cancelled"/>
    <n v="13.08"/>
    <n v="80.27"/>
    <n v="13946"/>
    <x v="121"/>
    <n v="12153"/>
    <x v="120"/>
    <x v="3"/>
  </r>
  <r>
    <n v="1123"/>
    <s v="Starbucks New Delhi"/>
    <s v="India"/>
    <x v="1"/>
    <s v="New Delhi"/>
    <s v="North"/>
    <x v="87"/>
    <x v="4"/>
    <x v="0"/>
    <x v="1"/>
    <s v="Anu"/>
    <n v="44"/>
    <x v="121"/>
    <n v="13944.36"/>
    <n v="4447.6400000000003"/>
    <x v="97"/>
    <n v="3.7"/>
    <n v="15"/>
    <x v="1"/>
    <s v="Regular"/>
    <s v="Refunded"/>
    <n v="28.61"/>
    <n v="77.2"/>
    <n v="9645"/>
    <x v="122"/>
    <n v="8090"/>
    <x v="121"/>
    <x v="1"/>
  </r>
  <r>
    <n v="1124"/>
    <s v="Starbucks New Delhi"/>
    <s v="India"/>
    <x v="1"/>
    <s v="New Delhi"/>
    <s v="North"/>
    <x v="27"/>
    <x v="1"/>
    <x v="2"/>
    <x v="3"/>
    <s v="Asha"/>
    <n v="37"/>
    <x v="122"/>
    <n v="7238.25"/>
    <n v="5267.75"/>
    <x v="98"/>
    <n v="4.7"/>
    <n v="15"/>
    <x v="1"/>
    <s v="Regular"/>
    <s v="Completed"/>
    <n v="28.61"/>
    <n v="77.2"/>
    <n v="9601"/>
    <x v="123"/>
    <n v="7601"/>
    <x v="122"/>
    <x v="2"/>
  </r>
  <r>
    <n v="1125"/>
    <s v="Starbucks Bengaluru"/>
    <s v="India"/>
    <x v="0"/>
    <s v="Bengaluru"/>
    <s v="South"/>
    <x v="88"/>
    <x v="2"/>
    <x v="0"/>
    <x v="5"/>
    <s v="Asha"/>
    <n v="52"/>
    <x v="123"/>
    <n v="8476.11"/>
    <n v="5251.89"/>
    <x v="36"/>
    <n v="4.4000000000000004"/>
    <n v="0"/>
    <x v="0"/>
    <s v="Premium"/>
    <s v="Completed"/>
    <n v="12.97"/>
    <n v="77.59"/>
    <n v="11483"/>
    <x v="124"/>
    <n v="9562"/>
    <x v="123"/>
    <x v="3"/>
  </r>
  <r>
    <n v="1126"/>
    <s v="Starbucks Bengaluru"/>
    <s v="India"/>
    <x v="0"/>
    <s v="Bengaluru"/>
    <s v="South"/>
    <x v="89"/>
    <x v="2"/>
    <x v="2"/>
    <x v="4"/>
    <s v="Vivek"/>
    <n v="55"/>
    <x v="124"/>
    <n v="14577.16"/>
    <n v="8027.84"/>
    <x v="28"/>
    <n v="3.7"/>
    <n v="15"/>
    <x v="1"/>
    <s v="Regular"/>
    <s v="Cancelled"/>
    <n v="12.97"/>
    <n v="77.59"/>
    <n v="8260"/>
    <x v="125"/>
    <n v="7102"/>
    <x v="124"/>
    <x v="0"/>
  </r>
  <r>
    <n v="1127"/>
    <s v="Starbucks Bengaluru"/>
    <s v="India"/>
    <x v="0"/>
    <s v="Bengaluru"/>
    <s v="South"/>
    <x v="20"/>
    <x v="0"/>
    <x v="0"/>
    <x v="5"/>
    <s v="Anu"/>
    <n v="42"/>
    <x v="125"/>
    <n v="5102.25"/>
    <n v="3255.75"/>
    <x v="30"/>
    <n v="4.2"/>
    <n v="5"/>
    <x v="1"/>
    <s v="Regular"/>
    <s v="Completed"/>
    <n v="12.97"/>
    <n v="77.59"/>
    <n v="14174"/>
    <x v="91"/>
    <n v="13383"/>
    <x v="125"/>
    <x v="2"/>
  </r>
  <r>
    <n v="1128"/>
    <s v="Starbucks Kochi"/>
    <s v="India"/>
    <x v="4"/>
    <s v="Kochi"/>
    <s v="South"/>
    <x v="90"/>
    <x v="5"/>
    <x v="1"/>
    <x v="2"/>
    <s v="Anu"/>
    <n v="22"/>
    <x v="126"/>
    <n v="2756.77"/>
    <n v="1995.23"/>
    <x v="99"/>
    <n v="3.9"/>
    <n v="10"/>
    <x v="0"/>
    <s v="Regular"/>
    <s v="Completed"/>
    <n v="9.93"/>
    <n v="76.260000000000005"/>
    <n v="12630"/>
    <x v="126"/>
    <n v="11334"/>
    <x v="126"/>
    <x v="0"/>
  </r>
  <r>
    <n v="1129"/>
    <s v="Starbucks Mumbai"/>
    <s v="India"/>
    <x v="2"/>
    <s v="Mumbai"/>
    <s v="West"/>
    <x v="91"/>
    <x v="3"/>
    <x v="0"/>
    <x v="5"/>
    <s v="Anu"/>
    <n v="54"/>
    <x v="127"/>
    <n v="7429.71"/>
    <n v="3424.29"/>
    <x v="13"/>
    <n v="5"/>
    <n v="0"/>
    <x v="0"/>
    <s v="Gold"/>
    <s v="Refunded"/>
    <n v="19.07"/>
    <n v="72.87"/>
    <n v="8034"/>
    <x v="127"/>
    <n v="6412"/>
    <x v="127"/>
    <x v="1"/>
  </r>
  <r>
    <n v="1130"/>
    <s v="Starbucks Chennai"/>
    <s v="India"/>
    <x v="3"/>
    <s v="Chennai"/>
    <s v="South"/>
    <x v="83"/>
    <x v="0"/>
    <x v="3"/>
    <x v="6"/>
    <s v="Neha"/>
    <n v="12"/>
    <x v="128"/>
    <n v="1582.91"/>
    <n v="949.09"/>
    <x v="54"/>
    <n v="3.9"/>
    <n v="10"/>
    <x v="0"/>
    <s v="Gold"/>
    <s v="Cancelled"/>
    <n v="13.08"/>
    <n v="80.27"/>
    <n v="14194"/>
    <x v="128"/>
    <n v="13345"/>
    <x v="128"/>
    <x v="3"/>
  </r>
  <r>
    <n v="1131"/>
    <s v="Starbucks Bengaluru"/>
    <s v="India"/>
    <x v="0"/>
    <s v="Bengaluru"/>
    <s v="South"/>
    <x v="41"/>
    <x v="2"/>
    <x v="0"/>
    <x v="1"/>
    <s v="Anu"/>
    <n v="54"/>
    <x v="129"/>
    <n v="8173.68"/>
    <n v="5380.32"/>
    <x v="100"/>
    <n v="4.9000000000000004"/>
    <n v="5"/>
    <x v="2"/>
    <s v="Premium"/>
    <s v="Refunded"/>
    <n v="12.97"/>
    <n v="77.59"/>
    <n v="8912"/>
    <x v="129"/>
    <n v="7645"/>
    <x v="129"/>
    <x v="3"/>
  </r>
  <r>
    <n v="1132"/>
    <s v="Starbucks Mumbai"/>
    <s v="India"/>
    <x v="2"/>
    <s v="Mumbai"/>
    <s v="West"/>
    <x v="92"/>
    <x v="2"/>
    <x v="0"/>
    <x v="5"/>
    <s v="Anu"/>
    <n v="48"/>
    <x v="130"/>
    <n v="14594.79"/>
    <n v="4221.21"/>
    <x v="101"/>
    <n v="4.4000000000000004"/>
    <n v="10"/>
    <x v="0"/>
    <s v="Regular"/>
    <s v="Cancelled"/>
    <n v="19.07"/>
    <n v="72.87"/>
    <n v="6556"/>
    <x v="130"/>
    <n v="4684"/>
    <x v="130"/>
    <x v="2"/>
  </r>
  <r>
    <n v="1133"/>
    <s v="Starbucks Chennai"/>
    <s v="India"/>
    <x v="3"/>
    <s v="Chennai"/>
    <s v="South"/>
    <x v="47"/>
    <x v="2"/>
    <x v="2"/>
    <x v="4"/>
    <s v="Rahul"/>
    <n v="34"/>
    <x v="131"/>
    <n v="6082.43"/>
    <n v="4287.57"/>
    <x v="102"/>
    <n v="3.9"/>
    <n v="10"/>
    <x v="2"/>
    <s v="Gold"/>
    <s v="Refunded"/>
    <n v="13.08"/>
    <n v="80.27"/>
    <n v="13856"/>
    <x v="131"/>
    <n v="12155"/>
    <x v="131"/>
    <x v="0"/>
  </r>
  <r>
    <n v="1134"/>
    <s v="Starbucks Mumbai"/>
    <s v="India"/>
    <x v="2"/>
    <s v="Mumbai"/>
    <s v="West"/>
    <x v="93"/>
    <x v="4"/>
    <x v="1"/>
    <x v="8"/>
    <s v="Neha"/>
    <n v="15"/>
    <x v="132"/>
    <n v="2255.33"/>
    <n v="1224.67"/>
    <x v="69"/>
    <n v="4.2"/>
    <n v="10"/>
    <x v="1"/>
    <s v="Gold"/>
    <s v="Refunded"/>
    <n v="19.07"/>
    <n v="72.87"/>
    <n v="6125"/>
    <x v="132"/>
    <n v="4199"/>
    <x v="132"/>
    <x v="1"/>
  </r>
  <r>
    <n v="1135"/>
    <s v="Starbucks Kochi"/>
    <s v="India"/>
    <x v="4"/>
    <s v="Kochi"/>
    <s v="South"/>
    <x v="94"/>
    <x v="0"/>
    <x v="2"/>
    <x v="3"/>
    <s v="Vivek"/>
    <n v="15"/>
    <x v="133"/>
    <n v="2573.13"/>
    <n v="1941.87"/>
    <x v="100"/>
    <n v="4.8"/>
    <n v="5"/>
    <x v="0"/>
    <s v="Premium"/>
    <s v="Completed"/>
    <n v="9.93"/>
    <n v="76.260000000000005"/>
    <n v="5087"/>
    <x v="133"/>
    <n v="3453"/>
    <x v="133"/>
    <x v="3"/>
  </r>
  <r>
    <n v="1136"/>
    <s v="Starbucks Bengaluru"/>
    <s v="India"/>
    <x v="0"/>
    <s v="Bengaluru"/>
    <s v="South"/>
    <x v="95"/>
    <x v="2"/>
    <x v="3"/>
    <x v="7"/>
    <s v="Vivek"/>
    <n v="38"/>
    <x v="134"/>
    <n v="6292.98"/>
    <n v="4499.0200000000004"/>
    <x v="103"/>
    <n v="4.8"/>
    <n v="5"/>
    <x v="2"/>
    <s v="Regular"/>
    <s v="Refunded"/>
    <n v="12.97"/>
    <n v="77.59"/>
    <n v="9092"/>
    <x v="134"/>
    <n v="8455"/>
    <x v="134"/>
    <x v="3"/>
  </r>
  <r>
    <n v="1137"/>
    <s v="Starbucks Kochi"/>
    <s v="India"/>
    <x v="4"/>
    <s v="Kochi"/>
    <s v="South"/>
    <x v="37"/>
    <x v="2"/>
    <x v="3"/>
    <x v="7"/>
    <s v="Vivek"/>
    <n v="8"/>
    <x v="135"/>
    <n v="2041.36"/>
    <n v="878.64"/>
    <x v="20"/>
    <n v="3.8"/>
    <n v="10"/>
    <x v="1"/>
    <s v="Regular"/>
    <s v="Refunded"/>
    <n v="9.93"/>
    <n v="76.260000000000005"/>
    <n v="6718"/>
    <x v="135"/>
    <n v="5173"/>
    <x v="135"/>
    <x v="3"/>
  </r>
  <r>
    <n v="1138"/>
    <s v="Starbucks New Delhi"/>
    <s v="India"/>
    <x v="1"/>
    <s v="New Delhi"/>
    <s v="North"/>
    <x v="96"/>
    <x v="1"/>
    <x v="1"/>
    <x v="2"/>
    <s v="Vivek"/>
    <n v="9"/>
    <x v="136"/>
    <n v="2167.7399999999998"/>
    <n v="1342.26"/>
    <x v="40"/>
    <n v="4.8"/>
    <n v="5"/>
    <x v="0"/>
    <s v="Gold"/>
    <s v="Cancelled"/>
    <n v="28.61"/>
    <n v="77.2"/>
    <n v="5538"/>
    <x v="136"/>
    <n v="4396"/>
    <x v="136"/>
    <x v="1"/>
  </r>
  <r>
    <n v="1139"/>
    <s v="Starbucks Mumbai"/>
    <s v="India"/>
    <x v="2"/>
    <s v="Mumbai"/>
    <s v="West"/>
    <x v="97"/>
    <x v="0"/>
    <x v="2"/>
    <x v="3"/>
    <s v="Anu"/>
    <n v="60"/>
    <x v="137"/>
    <n v="9075.27"/>
    <n v="6164.73"/>
    <x v="104"/>
    <n v="4.0999999999999996"/>
    <n v="0"/>
    <x v="1"/>
    <s v="Gold"/>
    <s v="Completed"/>
    <n v="19.07"/>
    <n v="72.87"/>
    <n v="7300"/>
    <x v="137"/>
    <n v="6655"/>
    <x v="137"/>
    <x v="3"/>
  </r>
  <r>
    <n v="1140"/>
    <s v="Starbucks Kochi"/>
    <s v="India"/>
    <x v="4"/>
    <s v="Kochi"/>
    <s v="South"/>
    <x v="98"/>
    <x v="5"/>
    <x v="3"/>
    <x v="7"/>
    <s v="Vivek"/>
    <n v="56"/>
    <x v="138"/>
    <n v="9089.5400000000009"/>
    <n v="6086.46"/>
    <x v="17"/>
    <n v="3.8"/>
    <n v="0"/>
    <x v="0"/>
    <s v="Premium"/>
    <s v="Refunded"/>
    <n v="9.93"/>
    <n v="76.260000000000005"/>
    <n v="9335"/>
    <x v="138"/>
    <n v="7927"/>
    <x v="138"/>
    <x v="3"/>
  </r>
  <r>
    <n v="1141"/>
    <s v="Starbucks Kochi"/>
    <s v="India"/>
    <x v="4"/>
    <s v="Kochi"/>
    <s v="South"/>
    <x v="99"/>
    <x v="3"/>
    <x v="2"/>
    <x v="4"/>
    <s v="Anu"/>
    <n v="13"/>
    <x v="139"/>
    <n v="2177.64"/>
    <n v="773.36"/>
    <x v="105"/>
    <n v="4.4000000000000004"/>
    <n v="15"/>
    <x v="0"/>
    <s v="Gold"/>
    <s v="Completed"/>
    <n v="9.93"/>
    <n v="76.260000000000005"/>
    <n v="10842"/>
    <x v="139"/>
    <n v="9925"/>
    <x v="139"/>
    <x v="1"/>
  </r>
  <r>
    <n v="1142"/>
    <s v="Starbucks Chennai"/>
    <s v="India"/>
    <x v="3"/>
    <s v="Chennai"/>
    <s v="South"/>
    <x v="100"/>
    <x v="3"/>
    <x v="0"/>
    <x v="0"/>
    <s v="Rahul"/>
    <n v="37"/>
    <x v="140"/>
    <n v="9244.58"/>
    <n v="5777.42"/>
    <x v="106"/>
    <n v="4.3"/>
    <n v="15"/>
    <x v="0"/>
    <s v="Premium"/>
    <s v="Completed"/>
    <n v="13.08"/>
    <n v="80.27"/>
    <n v="7114"/>
    <x v="140"/>
    <n v="5656"/>
    <x v="140"/>
    <x v="2"/>
  </r>
  <r>
    <n v="1143"/>
    <s v="Starbucks New Delhi"/>
    <s v="India"/>
    <x v="1"/>
    <s v="New Delhi"/>
    <s v="North"/>
    <x v="26"/>
    <x v="0"/>
    <x v="2"/>
    <x v="3"/>
    <s v="Rahul"/>
    <n v="23"/>
    <x v="141"/>
    <n v="5397.49"/>
    <n v="4170.51"/>
    <x v="107"/>
    <n v="4.3"/>
    <n v="5"/>
    <x v="1"/>
    <s v="Regular"/>
    <s v="Completed"/>
    <n v="28.61"/>
    <n v="77.2"/>
    <n v="14479"/>
    <x v="141"/>
    <n v="13897"/>
    <x v="141"/>
    <x v="0"/>
  </r>
  <r>
    <n v="1144"/>
    <s v="Starbucks Kochi"/>
    <s v="India"/>
    <x v="4"/>
    <s v="Kochi"/>
    <s v="South"/>
    <x v="101"/>
    <x v="3"/>
    <x v="0"/>
    <x v="0"/>
    <s v="Asha"/>
    <n v="39"/>
    <x v="142"/>
    <n v="5237.2"/>
    <n v="3342.8"/>
    <x v="108"/>
    <n v="4.7"/>
    <n v="10"/>
    <x v="1"/>
    <s v="Premium"/>
    <s v="Cancelled"/>
    <n v="9.93"/>
    <n v="76.260000000000005"/>
    <n v="13585"/>
    <x v="142"/>
    <n v="12949"/>
    <x v="142"/>
    <x v="3"/>
  </r>
  <r>
    <n v="1145"/>
    <s v="Starbucks Kochi"/>
    <s v="India"/>
    <x v="4"/>
    <s v="Kochi"/>
    <s v="South"/>
    <x v="102"/>
    <x v="4"/>
    <x v="3"/>
    <x v="6"/>
    <s v="Vivek"/>
    <n v="27"/>
    <x v="143"/>
    <n v="5712.79"/>
    <n v="1604.21"/>
    <x v="109"/>
    <n v="4.8"/>
    <n v="5"/>
    <x v="0"/>
    <s v="Regular"/>
    <s v="Completed"/>
    <n v="9.93"/>
    <n v="76.260000000000005"/>
    <n v="8258"/>
    <x v="143"/>
    <n v="7199"/>
    <x v="143"/>
    <x v="3"/>
  </r>
  <r>
    <n v="1146"/>
    <s v="Starbucks Mumbai"/>
    <s v="India"/>
    <x v="2"/>
    <s v="Mumbai"/>
    <s v="West"/>
    <x v="103"/>
    <x v="4"/>
    <x v="1"/>
    <x v="8"/>
    <s v="Asha"/>
    <n v="31"/>
    <x v="144"/>
    <n v="7977.32"/>
    <n v="3957.68"/>
    <x v="75"/>
    <n v="4"/>
    <n v="5"/>
    <x v="0"/>
    <s v="Regular"/>
    <s v="Cancelled"/>
    <n v="19.07"/>
    <n v="72.87"/>
    <n v="6979"/>
    <x v="144"/>
    <n v="5134"/>
    <x v="144"/>
    <x v="3"/>
  </r>
  <r>
    <n v="1147"/>
    <s v="Starbucks Kochi"/>
    <s v="India"/>
    <x v="4"/>
    <s v="Kochi"/>
    <s v="South"/>
    <x v="104"/>
    <x v="2"/>
    <x v="3"/>
    <x v="6"/>
    <s v="Vivek"/>
    <n v="45"/>
    <x v="145"/>
    <n v="6436.15"/>
    <n v="2428.85"/>
    <x v="72"/>
    <n v="3.5"/>
    <n v="10"/>
    <x v="1"/>
    <s v="Regular"/>
    <s v="Cancelled"/>
    <n v="9.93"/>
    <n v="76.260000000000005"/>
    <n v="11253"/>
    <x v="31"/>
    <n v="9999"/>
    <x v="145"/>
    <x v="2"/>
  </r>
  <r>
    <n v="1148"/>
    <s v="Starbucks New Delhi"/>
    <s v="India"/>
    <x v="1"/>
    <s v="New Delhi"/>
    <s v="North"/>
    <x v="40"/>
    <x v="3"/>
    <x v="0"/>
    <x v="0"/>
    <s v="Anu"/>
    <n v="27"/>
    <x v="146"/>
    <n v="5786.95"/>
    <n v="4203.05"/>
    <x v="110"/>
    <n v="4.0999999999999996"/>
    <n v="15"/>
    <x v="0"/>
    <s v="Regular"/>
    <s v="Cancelled"/>
    <n v="28.61"/>
    <n v="77.2"/>
    <n v="9532"/>
    <x v="145"/>
    <n v="8247"/>
    <x v="146"/>
    <x v="2"/>
  </r>
  <r>
    <n v="1149"/>
    <s v="Starbucks Chennai"/>
    <s v="India"/>
    <x v="3"/>
    <s v="Chennai"/>
    <s v="South"/>
    <x v="49"/>
    <x v="5"/>
    <x v="3"/>
    <x v="7"/>
    <s v="Vivek"/>
    <n v="55"/>
    <x v="147"/>
    <n v="9235.52"/>
    <n v="5284.48"/>
    <x v="111"/>
    <n v="4.3"/>
    <n v="5"/>
    <x v="2"/>
    <s v="Regular"/>
    <s v="Refunded"/>
    <n v="13.08"/>
    <n v="80.27"/>
    <n v="14465"/>
    <x v="146"/>
    <n v="12963"/>
    <x v="147"/>
    <x v="0"/>
  </r>
  <r>
    <n v="1150"/>
    <s v="Starbucks Mumbai"/>
    <s v="India"/>
    <x v="2"/>
    <s v="Mumbai"/>
    <s v="West"/>
    <x v="66"/>
    <x v="3"/>
    <x v="2"/>
    <x v="4"/>
    <s v="Vivek"/>
    <n v="49"/>
    <x v="148"/>
    <n v="11474.33"/>
    <n v="7096.67"/>
    <x v="112"/>
    <n v="4.4000000000000004"/>
    <n v="10"/>
    <x v="1"/>
    <s v="Regular"/>
    <s v="Refunded"/>
    <n v="19.07"/>
    <n v="72.87"/>
    <n v="13727"/>
    <x v="147"/>
    <n v="12733"/>
    <x v="148"/>
    <x v="2"/>
  </r>
  <r>
    <n v="1151"/>
    <s v="Starbucks Chennai"/>
    <s v="India"/>
    <x v="3"/>
    <s v="Chennai"/>
    <s v="South"/>
    <x v="29"/>
    <x v="2"/>
    <x v="2"/>
    <x v="3"/>
    <s v="Neha"/>
    <n v="13"/>
    <x v="149"/>
    <n v="3175.57"/>
    <n v="1205.43"/>
    <x v="113"/>
    <n v="4"/>
    <n v="10"/>
    <x v="2"/>
    <s v="Premium"/>
    <s v="Cancelled"/>
    <n v="13.08"/>
    <n v="80.27"/>
    <n v="5822"/>
    <x v="148"/>
    <n v="4885"/>
    <x v="149"/>
    <x v="2"/>
  </r>
  <r>
    <n v="1152"/>
    <s v="Starbucks Chennai"/>
    <s v="India"/>
    <x v="3"/>
    <s v="Chennai"/>
    <s v="South"/>
    <x v="77"/>
    <x v="0"/>
    <x v="0"/>
    <x v="5"/>
    <s v="Anu"/>
    <n v="5"/>
    <x v="150"/>
    <n v="1034.93"/>
    <n v="665.07"/>
    <x v="114"/>
    <n v="5"/>
    <n v="0"/>
    <x v="2"/>
    <s v="Regular"/>
    <s v="Cancelled"/>
    <n v="13.08"/>
    <n v="80.27"/>
    <n v="5568"/>
    <x v="149"/>
    <n v="4375"/>
    <x v="150"/>
    <x v="2"/>
  </r>
  <r>
    <n v="1153"/>
    <s v="Starbucks Bengaluru"/>
    <s v="India"/>
    <x v="0"/>
    <s v="Bengaluru"/>
    <s v="South"/>
    <x v="67"/>
    <x v="0"/>
    <x v="1"/>
    <x v="2"/>
    <s v="Rahul"/>
    <n v="51"/>
    <x v="151"/>
    <n v="10474.43"/>
    <n v="3142.57"/>
    <x v="115"/>
    <n v="4.3"/>
    <n v="5"/>
    <x v="2"/>
    <s v="Regular"/>
    <s v="Completed"/>
    <n v="12.97"/>
    <n v="77.59"/>
    <n v="6885"/>
    <x v="150"/>
    <n v="5169"/>
    <x v="151"/>
    <x v="2"/>
  </r>
  <r>
    <n v="1154"/>
    <s v="Starbucks Mumbai"/>
    <s v="India"/>
    <x v="2"/>
    <s v="Mumbai"/>
    <s v="West"/>
    <x v="105"/>
    <x v="4"/>
    <x v="3"/>
    <x v="7"/>
    <s v="Anu"/>
    <n v="46"/>
    <x v="152"/>
    <n v="8813.7900000000009"/>
    <n v="5124.21"/>
    <x v="116"/>
    <n v="3.8"/>
    <n v="15"/>
    <x v="1"/>
    <s v="Gold"/>
    <s v="Refunded"/>
    <n v="19.07"/>
    <n v="72.87"/>
    <n v="9298"/>
    <x v="151"/>
    <n v="7638"/>
    <x v="152"/>
    <x v="1"/>
  </r>
  <r>
    <n v="1155"/>
    <s v="Starbucks Kochi"/>
    <s v="India"/>
    <x v="4"/>
    <s v="Kochi"/>
    <s v="South"/>
    <x v="24"/>
    <x v="4"/>
    <x v="1"/>
    <x v="2"/>
    <s v="Neha"/>
    <n v="10"/>
    <x v="153"/>
    <n v="1835.78"/>
    <n v="634.22"/>
    <x v="91"/>
    <n v="4"/>
    <n v="0"/>
    <x v="2"/>
    <s v="Regular"/>
    <s v="Completed"/>
    <n v="9.93"/>
    <n v="76.260000000000005"/>
    <n v="14533"/>
    <x v="152"/>
    <n v="12750"/>
    <x v="153"/>
    <x v="1"/>
  </r>
  <r>
    <n v="1156"/>
    <s v="Starbucks Mumbai"/>
    <s v="India"/>
    <x v="2"/>
    <s v="Mumbai"/>
    <s v="West"/>
    <x v="106"/>
    <x v="1"/>
    <x v="2"/>
    <x v="4"/>
    <s v="Asha"/>
    <n v="47"/>
    <x v="154"/>
    <n v="10235.93"/>
    <n v="3347.07"/>
    <x v="95"/>
    <n v="4.4000000000000004"/>
    <n v="15"/>
    <x v="0"/>
    <s v="Premium"/>
    <s v="Refunded"/>
    <n v="19.07"/>
    <n v="72.87"/>
    <n v="5386"/>
    <x v="153"/>
    <n v="3511"/>
    <x v="154"/>
    <x v="2"/>
  </r>
  <r>
    <n v="1157"/>
    <s v="Starbucks Bengaluru"/>
    <s v="India"/>
    <x v="0"/>
    <s v="Bengaluru"/>
    <s v="South"/>
    <x v="107"/>
    <x v="1"/>
    <x v="3"/>
    <x v="6"/>
    <s v="Asha"/>
    <n v="60"/>
    <x v="155"/>
    <n v="10237.41"/>
    <n v="5782.59"/>
    <x v="117"/>
    <n v="3.6"/>
    <n v="15"/>
    <x v="1"/>
    <s v="Regular"/>
    <s v="Cancelled"/>
    <n v="12.97"/>
    <n v="77.59"/>
    <n v="13388"/>
    <x v="154"/>
    <n v="11913"/>
    <x v="155"/>
    <x v="3"/>
  </r>
  <r>
    <n v="1158"/>
    <s v="Starbucks New Delhi"/>
    <s v="India"/>
    <x v="1"/>
    <s v="New Delhi"/>
    <s v="North"/>
    <x v="108"/>
    <x v="4"/>
    <x v="0"/>
    <x v="1"/>
    <s v="Vivek"/>
    <n v="31"/>
    <x v="156"/>
    <n v="7316.19"/>
    <n v="3502.81"/>
    <x v="118"/>
    <n v="4"/>
    <n v="0"/>
    <x v="1"/>
    <s v="Premium"/>
    <s v="Cancelled"/>
    <n v="28.61"/>
    <n v="77.2"/>
    <n v="7020"/>
    <x v="155"/>
    <n v="6143"/>
    <x v="156"/>
    <x v="3"/>
  </r>
  <r>
    <n v="1159"/>
    <s v="Starbucks New Delhi"/>
    <s v="India"/>
    <x v="1"/>
    <s v="New Delhi"/>
    <s v="North"/>
    <x v="109"/>
    <x v="1"/>
    <x v="1"/>
    <x v="2"/>
    <s v="Anu"/>
    <n v="57"/>
    <x v="157"/>
    <n v="12176.59"/>
    <n v="4068.41"/>
    <x v="119"/>
    <n v="3.6"/>
    <n v="15"/>
    <x v="2"/>
    <s v="Regular"/>
    <s v="Completed"/>
    <n v="28.61"/>
    <n v="77.2"/>
    <n v="11268"/>
    <x v="156"/>
    <n v="10524"/>
    <x v="141"/>
    <x v="2"/>
  </r>
  <r>
    <n v="1160"/>
    <s v="Starbucks Kochi"/>
    <s v="India"/>
    <x v="4"/>
    <s v="Kochi"/>
    <s v="South"/>
    <x v="110"/>
    <x v="4"/>
    <x v="0"/>
    <x v="5"/>
    <s v="Rahul"/>
    <n v="42"/>
    <x v="158"/>
    <n v="9764.4699999999993"/>
    <n v="3717.53"/>
    <x v="1"/>
    <n v="4.5999999999999996"/>
    <n v="15"/>
    <x v="1"/>
    <s v="Regular"/>
    <s v="Refunded"/>
    <n v="9.93"/>
    <n v="76.260000000000005"/>
    <n v="13564"/>
    <x v="157"/>
    <n v="11695"/>
    <x v="69"/>
    <x v="2"/>
  </r>
  <r>
    <n v="1161"/>
    <s v="Starbucks Kochi"/>
    <s v="India"/>
    <x v="4"/>
    <s v="Kochi"/>
    <s v="South"/>
    <x v="111"/>
    <x v="5"/>
    <x v="2"/>
    <x v="4"/>
    <s v="Rahul"/>
    <n v="16"/>
    <x v="159"/>
    <n v="2139.61"/>
    <n v="1492.39"/>
    <x v="120"/>
    <n v="4.0999999999999996"/>
    <n v="10"/>
    <x v="0"/>
    <s v="Regular"/>
    <s v="Completed"/>
    <n v="9.93"/>
    <n v="76.260000000000005"/>
    <n v="7400"/>
    <x v="158"/>
    <n v="6414"/>
    <x v="157"/>
    <x v="2"/>
  </r>
  <r>
    <n v="1162"/>
    <s v="Starbucks Mumbai"/>
    <s v="India"/>
    <x v="2"/>
    <s v="Mumbai"/>
    <s v="West"/>
    <x v="46"/>
    <x v="1"/>
    <x v="1"/>
    <x v="2"/>
    <s v="Anu"/>
    <n v="36"/>
    <x v="160"/>
    <n v="10821.4"/>
    <n v="3398.6"/>
    <x v="121"/>
    <n v="4.3"/>
    <n v="5"/>
    <x v="1"/>
    <s v="Regular"/>
    <s v="Cancelled"/>
    <n v="19.07"/>
    <n v="72.87"/>
    <n v="14169"/>
    <x v="159"/>
    <n v="13387"/>
    <x v="158"/>
    <x v="0"/>
  </r>
  <r>
    <n v="1163"/>
    <s v="Starbucks Mumbai"/>
    <s v="India"/>
    <x v="2"/>
    <s v="Mumbai"/>
    <s v="West"/>
    <x v="40"/>
    <x v="3"/>
    <x v="3"/>
    <x v="6"/>
    <s v="Asha"/>
    <n v="57"/>
    <x v="161"/>
    <n v="9888.7199999999993"/>
    <n v="4874.28"/>
    <x v="64"/>
    <n v="4.3"/>
    <n v="10"/>
    <x v="1"/>
    <s v="Gold"/>
    <s v="Refunded"/>
    <n v="19.07"/>
    <n v="72.87"/>
    <n v="9363"/>
    <x v="160"/>
    <n v="8337"/>
    <x v="159"/>
    <x v="2"/>
  </r>
  <r>
    <n v="1164"/>
    <s v="Starbucks Mumbai"/>
    <s v="India"/>
    <x v="2"/>
    <s v="Mumbai"/>
    <s v="West"/>
    <x v="70"/>
    <x v="3"/>
    <x v="0"/>
    <x v="5"/>
    <s v="Vivek"/>
    <n v="38"/>
    <x v="162"/>
    <n v="7032.8"/>
    <n v="2315.1999999999998"/>
    <x v="122"/>
    <n v="4.2"/>
    <n v="15"/>
    <x v="1"/>
    <s v="Regular"/>
    <s v="Refunded"/>
    <n v="19.07"/>
    <n v="72.87"/>
    <n v="14263"/>
    <x v="161"/>
    <n v="13731"/>
    <x v="160"/>
    <x v="2"/>
  </r>
  <r>
    <n v="1165"/>
    <s v="Starbucks Mumbai"/>
    <s v="India"/>
    <x v="2"/>
    <s v="Mumbai"/>
    <s v="West"/>
    <x v="101"/>
    <x v="3"/>
    <x v="2"/>
    <x v="3"/>
    <s v="Neha"/>
    <n v="50"/>
    <x v="163"/>
    <n v="10503.14"/>
    <n v="2646.86"/>
    <x v="37"/>
    <n v="3.6"/>
    <n v="5"/>
    <x v="2"/>
    <s v="Regular"/>
    <s v="Refunded"/>
    <n v="19.07"/>
    <n v="72.87"/>
    <n v="11891"/>
    <x v="162"/>
    <n v="11139"/>
    <x v="16"/>
    <x v="3"/>
  </r>
  <r>
    <n v="1166"/>
    <s v="Starbucks Kochi"/>
    <s v="India"/>
    <x v="4"/>
    <s v="Kochi"/>
    <s v="South"/>
    <x v="112"/>
    <x v="1"/>
    <x v="2"/>
    <x v="3"/>
    <s v="Rahul"/>
    <n v="52"/>
    <x v="164"/>
    <n v="5305.63"/>
    <n v="4314.37"/>
    <x v="123"/>
    <n v="3.7"/>
    <n v="15"/>
    <x v="1"/>
    <s v="Premium"/>
    <s v="Completed"/>
    <n v="9.93"/>
    <n v="76.260000000000005"/>
    <n v="5970"/>
    <x v="163"/>
    <n v="5319"/>
    <x v="161"/>
    <x v="3"/>
  </r>
  <r>
    <n v="1167"/>
    <s v="Starbucks Chennai"/>
    <s v="India"/>
    <x v="3"/>
    <s v="Chennai"/>
    <s v="South"/>
    <x v="113"/>
    <x v="0"/>
    <x v="2"/>
    <x v="4"/>
    <s v="Neha"/>
    <n v="28"/>
    <x v="165"/>
    <n v="4082.48"/>
    <n v="1517.52"/>
    <x v="124"/>
    <n v="3.7"/>
    <n v="5"/>
    <x v="2"/>
    <s v="Regular"/>
    <s v="Cancelled"/>
    <n v="13.08"/>
    <n v="80.27"/>
    <n v="12066"/>
    <x v="164"/>
    <n v="11126"/>
    <x v="162"/>
    <x v="1"/>
  </r>
  <r>
    <n v="1168"/>
    <s v="Starbucks Mumbai"/>
    <s v="India"/>
    <x v="2"/>
    <s v="Mumbai"/>
    <s v="West"/>
    <x v="76"/>
    <x v="2"/>
    <x v="0"/>
    <x v="5"/>
    <s v="Rahul"/>
    <n v="41"/>
    <x v="166"/>
    <n v="6446.79"/>
    <n v="5197.21"/>
    <x v="125"/>
    <n v="4.9000000000000004"/>
    <n v="5"/>
    <x v="0"/>
    <s v="Gold"/>
    <s v="Refunded"/>
    <n v="19.07"/>
    <n v="72.87"/>
    <n v="12623"/>
    <x v="165"/>
    <n v="11263"/>
    <x v="163"/>
    <x v="1"/>
  </r>
  <r>
    <n v="1169"/>
    <s v="Starbucks Mumbai"/>
    <s v="India"/>
    <x v="2"/>
    <s v="Mumbai"/>
    <s v="West"/>
    <x v="114"/>
    <x v="3"/>
    <x v="1"/>
    <x v="2"/>
    <s v="Neha"/>
    <n v="43"/>
    <x v="167"/>
    <n v="9540.36"/>
    <n v="7745.64"/>
    <x v="126"/>
    <n v="4.2"/>
    <n v="15"/>
    <x v="2"/>
    <s v="Regular"/>
    <s v="Cancelled"/>
    <n v="19.07"/>
    <n v="72.87"/>
    <n v="10239"/>
    <x v="166"/>
    <n v="8946"/>
    <x v="164"/>
    <x v="3"/>
  </r>
  <r>
    <n v="1170"/>
    <s v="Starbucks Mumbai"/>
    <s v="India"/>
    <x v="2"/>
    <s v="Mumbai"/>
    <s v="West"/>
    <x v="115"/>
    <x v="5"/>
    <x v="2"/>
    <x v="4"/>
    <s v="Anu"/>
    <n v="46"/>
    <x v="168"/>
    <n v="8790.98"/>
    <n v="4917.0200000000004"/>
    <x v="115"/>
    <n v="4.8"/>
    <n v="15"/>
    <x v="2"/>
    <s v="Premium"/>
    <s v="Completed"/>
    <n v="19.07"/>
    <n v="72.87"/>
    <n v="13447"/>
    <x v="167"/>
    <n v="11752"/>
    <x v="165"/>
    <x v="2"/>
  </r>
  <r>
    <n v="1171"/>
    <s v="Starbucks Chennai"/>
    <s v="India"/>
    <x v="3"/>
    <s v="Chennai"/>
    <s v="South"/>
    <x v="82"/>
    <x v="3"/>
    <x v="2"/>
    <x v="3"/>
    <s v="Anu"/>
    <n v="24"/>
    <x v="169"/>
    <n v="6574.71"/>
    <n v="3025.29"/>
    <x v="127"/>
    <n v="3.8"/>
    <n v="0"/>
    <x v="1"/>
    <s v="Gold"/>
    <s v="Cancelled"/>
    <n v="13.08"/>
    <n v="80.27"/>
    <n v="9188"/>
    <x v="168"/>
    <n v="8034"/>
    <x v="166"/>
    <x v="2"/>
  </r>
  <r>
    <n v="1172"/>
    <s v="Starbucks Mumbai"/>
    <s v="India"/>
    <x v="2"/>
    <s v="Mumbai"/>
    <s v="West"/>
    <x v="116"/>
    <x v="4"/>
    <x v="0"/>
    <x v="1"/>
    <s v="Neha"/>
    <n v="39"/>
    <x v="170"/>
    <n v="7193.04"/>
    <n v="2790.96"/>
    <x v="4"/>
    <n v="4.3"/>
    <n v="5"/>
    <x v="1"/>
    <s v="Gold"/>
    <s v="Completed"/>
    <n v="19.07"/>
    <n v="72.87"/>
    <n v="14831"/>
    <x v="157"/>
    <n v="14262"/>
    <x v="167"/>
    <x v="3"/>
  </r>
  <r>
    <n v="1173"/>
    <s v="Starbucks Chennai"/>
    <s v="India"/>
    <x v="3"/>
    <s v="Chennai"/>
    <s v="South"/>
    <x v="117"/>
    <x v="0"/>
    <x v="1"/>
    <x v="8"/>
    <s v="Vivek"/>
    <n v="30"/>
    <x v="171"/>
    <n v="5390.74"/>
    <n v="2709.26"/>
    <x v="128"/>
    <n v="3.8"/>
    <n v="10"/>
    <x v="0"/>
    <s v="Gold"/>
    <s v="Cancelled"/>
    <n v="13.08"/>
    <n v="80.27"/>
    <n v="7938"/>
    <x v="169"/>
    <n v="6959"/>
    <x v="168"/>
    <x v="0"/>
  </r>
  <r>
    <n v="1174"/>
    <s v="Starbucks New Delhi"/>
    <s v="India"/>
    <x v="1"/>
    <s v="New Delhi"/>
    <s v="North"/>
    <x v="14"/>
    <x v="5"/>
    <x v="3"/>
    <x v="7"/>
    <s v="Anu"/>
    <n v="11"/>
    <x v="172"/>
    <n v="1397.77"/>
    <n v="780.23"/>
    <x v="129"/>
    <n v="3.6"/>
    <n v="15"/>
    <x v="0"/>
    <s v="Regular"/>
    <s v="Refunded"/>
    <n v="28.61"/>
    <n v="77.2"/>
    <n v="8077"/>
    <x v="170"/>
    <n v="6551"/>
    <x v="169"/>
    <x v="0"/>
  </r>
  <r>
    <n v="1175"/>
    <s v="Starbucks Chennai"/>
    <s v="India"/>
    <x v="3"/>
    <s v="Chennai"/>
    <s v="South"/>
    <x v="93"/>
    <x v="4"/>
    <x v="2"/>
    <x v="3"/>
    <s v="Vivek"/>
    <n v="48"/>
    <x v="173"/>
    <n v="11551.71"/>
    <n v="2896.29"/>
    <x v="130"/>
    <n v="4.7"/>
    <n v="0"/>
    <x v="2"/>
    <s v="Gold"/>
    <s v="Cancelled"/>
    <n v="13.08"/>
    <n v="80.27"/>
    <n v="11519"/>
    <x v="171"/>
    <n v="10247"/>
    <x v="170"/>
    <x v="1"/>
  </r>
  <r>
    <n v="1176"/>
    <s v="Starbucks Bengaluru"/>
    <s v="India"/>
    <x v="0"/>
    <s v="Bengaluru"/>
    <s v="South"/>
    <x v="13"/>
    <x v="4"/>
    <x v="3"/>
    <x v="6"/>
    <s v="Vivek"/>
    <n v="10"/>
    <x v="174"/>
    <n v="2827.86"/>
    <n v="1202.1400000000001"/>
    <x v="131"/>
    <n v="3.7"/>
    <n v="0"/>
    <x v="1"/>
    <s v="Gold"/>
    <s v="Refunded"/>
    <n v="12.97"/>
    <n v="77.59"/>
    <n v="13403"/>
    <x v="172"/>
    <n v="12042"/>
    <x v="171"/>
    <x v="3"/>
  </r>
  <r>
    <n v="1177"/>
    <s v="Starbucks Bengaluru"/>
    <s v="India"/>
    <x v="0"/>
    <s v="Bengaluru"/>
    <s v="South"/>
    <x v="118"/>
    <x v="0"/>
    <x v="0"/>
    <x v="5"/>
    <s v="Neha"/>
    <n v="42"/>
    <x v="175"/>
    <n v="9309.41"/>
    <n v="4592.59"/>
    <x v="89"/>
    <n v="3.5"/>
    <n v="5"/>
    <x v="2"/>
    <s v="Gold"/>
    <s v="Cancelled"/>
    <n v="12.97"/>
    <n v="77.59"/>
    <n v="9898"/>
    <x v="173"/>
    <n v="7998"/>
    <x v="172"/>
    <x v="3"/>
  </r>
  <r>
    <n v="1178"/>
    <s v="Starbucks Kochi"/>
    <s v="India"/>
    <x v="4"/>
    <s v="Kochi"/>
    <s v="South"/>
    <x v="51"/>
    <x v="2"/>
    <x v="1"/>
    <x v="8"/>
    <s v="Neha"/>
    <n v="17"/>
    <x v="176"/>
    <n v="4203.8599999999997"/>
    <n v="1661.14"/>
    <x v="56"/>
    <n v="4.2"/>
    <n v="10"/>
    <x v="2"/>
    <s v="Premium"/>
    <s v="Refunded"/>
    <n v="9.93"/>
    <n v="76.260000000000005"/>
    <n v="13383"/>
    <x v="174"/>
    <n v="11558"/>
    <x v="173"/>
    <x v="2"/>
  </r>
  <r>
    <n v="1179"/>
    <s v="Starbucks Bengaluru"/>
    <s v="India"/>
    <x v="0"/>
    <s v="Bengaluru"/>
    <s v="South"/>
    <x v="75"/>
    <x v="4"/>
    <x v="2"/>
    <x v="4"/>
    <s v="Neha"/>
    <n v="22"/>
    <x v="177"/>
    <n v="5427.1"/>
    <n v="1766.9"/>
    <x v="132"/>
    <n v="4.5"/>
    <n v="10"/>
    <x v="0"/>
    <s v="Regular"/>
    <s v="Completed"/>
    <n v="12.97"/>
    <n v="77.59"/>
    <n v="5748"/>
    <x v="175"/>
    <n v="4658"/>
    <x v="174"/>
    <x v="3"/>
  </r>
  <r>
    <n v="1180"/>
    <s v="Starbucks Chennai"/>
    <s v="India"/>
    <x v="3"/>
    <s v="Chennai"/>
    <s v="South"/>
    <x v="119"/>
    <x v="3"/>
    <x v="0"/>
    <x v="1"/>
    <s v="Rahul"/>
    <n v="26"/>
    <x v="178"/>
    <n v="4971.96"/>
    <n v="1658.04"/>
    <x v="133"/>
    <n v="4.9000000000000004"/>
    <n v="15"/>
    <x v="1"/>
    <s v="Regular"/>
    <s v="Refunded"/>
    <n v="13.08"/>
    <n v="80.27"/>
    <n v="14946"/>
    <x v="176"/>
    <n v="13259"/>
    <x v="175"/>
    <x v="0"/>
  </r>
  <r>
    <n v="1181"/>
    <s v="Starbucks Mumbai"/>
    <s v="India"/>
    <x v="2"/>
    <s v="Mumbai"/>
    <s v="West"/>
    <x v="120"/>
    <x v="5"/>
    <x v="3"/>
    <x v="7"/>
    <s v="Anu"/>
    <n v="60"/>
    <x v="179"/>
    <n v="14195.93"/>
    <n v="6384.07"/>
    <x v="39"/>
    <n v="3.7"/>
    <n v="5"/>
    <x v="1"/>
    <s v="Premium"/>
    <s v="Refunded"/>
    <n v="19.07"/>
    <n v="72.87"/>
    <n v="14443"/>
    <x v="177"/>
    <n v="13471"/>
    <x v="176"/>
    <x v="0"/>
  </r>
  <r>
    <n v="1182"/>
    <s v="Starbucks New Delhi"/>
    <s v="India"/>
    <x v="1"/>
    <s v="New Delhi"/>
    <s v="North"/>
    <x v="121"/>
    <x v="1"/>
    <x v="1"/>
    <x v="8"/>
    <s v="Vivek"/>
    <n v="46"/>
    <x v="180"/>
    <n v="14160.35"/>
    <n v="3825.65"/>
    <x v="134"/>
    <n v="4.5999999999999996"/>
    <n v="0"/>
    <x v="1"/>
    <s v="Gold"/>
    <s v="Cancelled"/>
    <n v="28.61"/>
    <n v="77.2"/>
    <n v="11474"/>
    <x v="178"/>
    <n v="10614"/>
    <x v="177"/>
    <x v="2"/>
  </r>
  <r>
    <n v="1183"/>
    <s v="Starbucks New Delhi"/>
    <s v="India"/>
    <x v="1"/>
    <s v="New Delhi"/>
    <s v="North"/>
    <x v="21"/>
    <x v="4"/>
    <x v="3"/>
    <x v="6"/>
    <s v="Asha"/>
    <n v="22"/>
    <x v="80"/>
    <n v="3929.3"/>
    <n v="2604.6999999999998"/>
    <x v="135"/>
    <n v="3.8"/>
    <n v="0"/>
    <x v="1"/>
    <s v="Regular"/>
    <s v="Cancelled"/>
    <n v="28.61"/>
    <n v="77.2"/>
    <n v="11855"/>
    <x v="179"/>
    <n v="11038"/>
    <x v="178"/>
    <x v="0"/>
  </r>
  <r>
    <n v="1184"/>
    <s v="Starbucks Bengaluru"/>
    <s v="India"/>
    <x v="0"/>
    <s v="Bengaluru"/>
    <s v="South"/>
    <x v="24"/>
    <x v="4"/>
    <x v="0"/>
    <x v="1"/>
    <s v="Rahul"/>
    <n v="40"/>
    <x v="181"/>
    <n v="5966.76"/>
    <n v="2753.24"/>
    <x v="136"/>
    <n v="4.3"/>
    <n v="0"/>
    <x v="1"/>
    <s v="Premium"/>
    <s v="Refunded"/>
    <n v="12.97"/>
    <n v="77.59"/>
    <n v="6515"/>
    <x v="180"/>
    <n v="4904"/>
    <x v="179"/>
    <x v="0"/>
  </r>
  <r>
    <n v="1185"/>
    <s v="Starbucks Kochi"/>
    <s v="India"/>
    <x v="4"/>
    <s v="Kochi"/>
    <s v="South"/>
    <x v="6"/>
    <x v="3"/>
    <x v="1"/>
    <x v="2"/>
    <s v="Rahul"/>
    <n v="32"/>
    <x v="182"/>
    <n v="6041.57"/>
    <n v="3686.43"/>
    <x v="137"/>
    <n v="4.3"/>
    <n v="15"/>
    <x v="1"/>
    <s v="Gold"/>
    <s v="Cancelled"/>
    <n v="9.93"/>
    <n v="76.260000000000005"/>
    <n v="9126"/>
    <x v="181"/>
    <n v="8179"/>
    <x v="180"/>
    <x v="2"/>
  </r>
  <r>
    <n v="1186"/>
    <s v="Starbucks Chennai"/>
    <s v="India"/>
    <x v="3"/>
    <s v="Chennai"/>
    <s v="South"/>
    <x v="122"/>
    <x v="5"/>
    <x v="3"/>
    <x v="6"/>
    <s v="Asha"/>
    <n v="18"/>
    <x v="183"/>
    <n v="3598.64"/>
    <n v="1513.36"/>
    <x v="0"/>
    <n v="4.2"/>
    <n v="5"/>
    <x v="1"/>
    <s v="Gold"/>
    <s v="Refunded"/>
    <n v="13.08"/>
    <n v="80.27"/>
    <n v="8414"/>
    <x v="182"/>
    <n v="7199"/>
    <x v="181"/>
    <x v="2"/>
  </r>
  <r>
    <n v="1187"/>
    <s v="Starbucks Mumbai"/>
    <s v="India"/>
    <x v="2"/>
    <s v="Mumbai"/>
    <s v="West"/>
    <x v="109"/>
    <x v="1"/>
    <x v="1"/>
    <x v="2"/>
    <s v="Asha"/>
    <n v="25"/>
    <x v="184"/>
    <n v="5895.77"/>
    <n v="2529.23"/>
    <x v="127"/>
    <n v="3.7"/>
    <n v="15"/>
    <x v="0"/>
    <s v="Regular"/>
    <s v="Refunded"/>
    <n v="19.07"/>
    <n v="72.87"/>
    <n v="11587"/>
    <x v="183"/>
    <n v="10083"/>
    <x v="182"/>
    <x v="1"/>
  </r>
  <r>
    <n v="1188"/>
    <s v="Starbucks Bengaluru"/>
    <s v="India"/>
    <x v="0"/>
    <s v="Bengaluru"/>
    <s v="South"/>
    <x v="123"/>
    <x v="4"/>
    <x v="2"/>
    <x v="3"/>
    <s v="Rahul"/>
    <n v="53"/>
    <x v="185"/>
    <n v="10503.48"/>
    <n v="4972.5200000000004"/>
    <x v="48"/>
    <n v="4.2"/>
    <n v="0"/>
    <x v="0"/>
    <s v="Premium"/>
    <s v="Cancelled"/>
    <n v="12.97"/>
    <n v="77.59"/>
    <n v="10126"/>
    <x v="184"/>
    <n v="8790"/>
    <x v="183"/>
    <x v="3"/>
  </r>
  <r>
    <n v="1189"/>
    <s v="Starbucks New Delhi"/>
    <s v="India"/>
    <x v="1"/>
    <s v="New Delhi"/>
    <s v="North"/>
    <x v="33"/>
    <x v="5"/>
    <x v="0"/>
    <x v="1"/>
    <s v="Neha"/>
    <n v="52"/>
    <x v="186"/>
    <n v="13163.39"/>
    <n v="6336.61"/>
    <x v="138"/>
    <n v="3.9"/>
    <n v="15"/>
    <x v="1"/>
    <s v="Premium"/>
    <s v="Refunded"/>
    <n v="28.61"/>
    <n v="77.2"/>
    <n v="14036"/>
    <x v="185"/>
    <n v="12799"/>
    <x v="184"/>
    <x v="3"/>
  </r>
  <r>
    <n v="1190"/>
    <s v="Starbucks Chennai"/>
    <s v="India"/>
    <x v="3"/>
    <s v="Chennai"/>
    <s v="South"/>
    <x v="104"/>
    <x v="2"/>
    <x v="3"/>
    <x v="6"/>
    <s v="Vivek"/>
    <n v="50"/>
    <x v="187"/>
    <n v="11158.26"/>
    <n v="4541.74"/>
    <x v="139"/>
    <n v="5"/>
    <n v="15"/>
    <x v="0"/>
    <s v="Regular"/>
    <s v="Completed"/>
    <n v="13.08"/>
    <n v="80.27"/>
    <n v="12195"/>
    <x v="186"/>
    <n v="10617"/>
    <x v="185"/>
    <x v="0"/>
  </r>
  <r>
    <n v="1191"/>
    <s v="Starbucks Bengaluru"/>
    <s v="India"/>
    <x v="0"/>
    <s v="Bengaluru"/>
    <s v="South"/>
    <x v="124"/>
    <x v="3"/>
    <x v="1"/>
    <x v="2"/>
    <s v="Anu"/>
    <n v="38"/>
    <x v="188"/>
    <n v="9087.48"/>
    <n v="2958.52"/>
    <x v="55"/>
    <n v="5"/>
    <n v="5"/>
    <x v="1"/>
    <s v="Premium"/>
    <s v="Refunded"/>
    <n v="12.97"/>
    <n v="77.59"/>
    <n v="14531"/>
    <x v="187"/>
    <n v="13075"/>
    <x v="186"/>
    <x v="2"/>
  </r>
  <r>
    <n v="1192"/>
    <s v="Starbucks Chennai"/>
    <s v="India"/>
    <x v="3"/>
    <s v="Chennai"/>
    <s v="South"/>
    <x v="80"/>
    <x v="0"/>
    <x v="0"/>
    <x v="0"/>
    <s v="Neha"/>
    <n v="60"/>
    <x v="189"/>
    <n v="13954.87"/>
    <n v="6025.13"/>
    <x v="140"/>
    <n v="4.5"/>
    <n v="10"/>
    <x v="2"/>
    <s v="Regular"/>
    <s v="Refunded"/>
    <n v="13.08"/>
    <n v="80.27"/>
    <n v="11612"/>
    <x v="188"/>
    <n v="9851"/>
    <x v="187"/>
    <x v="3"/>
  </r>
  <r>
    <n v="1193"/>
    <s v="Starbucks Mumbai"/>
    <s v="India"/>
    <x v="2"/>
    <s v="Mumbai"/>
    <s v="West"/>
    <x v="85"/>
    <x v="3"/>
    <x v="3"/>
    <x v="6"/>
    <s v="Vivek"/>
    <n v="14"/>
    <x v="190"/>
    <n v="1481.12"/>
    <n v="1178.8800000000001"/>
    <x v="141"/>
    <n v="4.5999999999999996"/>
    <n v="15"/>
    <x v="1"/>
    <s v="Premium"/>
    <s v="Completed"/>
    <n v="19.07"/>
    <n v="72.87"/>
    <n v="6909"/>
    <x v="189"/>
    <n v="6226"/>
    <x v="188"/>
    <x v="3"/>
  </r>
  <r>
    <n v="1194"/>
    <s v="Starbucks Bengaluru"/>
    <s v="India"/>
    <x v="0"/>
    <s v="Bengaluru"/>
    <s v="South"/>
    <x v="113"/>
    <x v="0"/>
    <x v="2"/>
    <x v="3"/>
    <s v="Neha"/>
    <n v="32"/>
    <x v="191"/>
    <n v="7924.48"/>
    <n v="2379.52"/>
    <x v="65"/>
    <n v="4.0999999999999996"/>
    <n v="10"/>
    <x v="1"/>
    <s v="Premium"/>
    <s v="Refunded"/>
    <n v="12.97"/>
    <n v="77.59"/>
    <n v="11894"/>
    <x v="190"/>
    <n v="10961"/>
    <x v="189"/>
    <x v="2"/>
  </r>
  <r>
    <n v="1195"/>
    <s v="Starbucks Kochi"/>
    <s v="India"/>
    <x v="4"/>
    <s v="Kochi"/>
    <s v="South"/>
    <x v="65"/>
    <x v="3"/>
    <x v="1"/>
    <x v="2"/>
    <s v="Rahul"/>
    <n v="35"/>
    <x v="192"/>
    <n v="8634.61"/>
    <n v="5050.3900000000003"/>
    <x v="69"/>
    <n v="4.5999999999999996"/>
    <n v="15"/>
    <x v="0"/>
    <s v="Premium"/>
    <s v="Refunded"/>
    <n v="9.93"/>
    <n v="76.260000000000005"/>
    <n v="5244"/>
    <x v="191"/>
    <n v="4453"/>
    <x v="190"/>
    <x v="0"/>
  </r>
  <r>
    <n v="1196"/>
    <s v="Starbucks New Delhi"/>
    <s v="India"/>
    <x v="1"/>
    <s v="New Delhi"/>
    <s v="North"/>
    <x v="120"/>
    <x v="5"/>
    <x v="3"/>
    <x v="6"/>
    <s v="Anu"/>
    <n v="47"/>
    <x v="193"/>
    <n v="9473.42"/>
    <n v="4626.58"/>
    <x v="142"/>
    <n v="4.7"/>
    <n v="15"/>
    <x v="2"/>
    <s v="Regular"/>
    <s v="Refunded"/>
    <n v="28.61"/>
    <n v="77.2"/>
    <n v="13923"/>
    <x v="192"/>
    <n v="13240"/>
    <x v="191"/>
    <x v="3"/>
  </r>
  <r>
    <n v="1197"/>
    <s v="Starbucks Chennai"/>
    <s v="India"/>
    <x v="3"/>
    <s v="Chennai"/>
    <s v="South"/>
    <x v="8"/>
    <x v="5"/>
    <x v="0"/>
    <x v="1"/>
    <s v="Anu"/>
    <n v="10"/>
    <x v="194"/>
    <n v="1630.17"/>
    <n v="869.83"/>
    <x v="143"/>
    <n v="4.8"/>
    <n v="0"/>
    <x v="0"/>
    <s v="Gold"/>
    <s v="Refunded"/>
    <n v="13.08"/>
    <n v="80.27"/>
    <n v="14217"/>
    <x v="193"/>
    <n v="12875"/>
    <x v="192"/>
    <x v="0"/>
  </r>
  <r>
    <n v="1198"/>
    <s v="Starbucks Bengaluru"/>
    <s v="India"/>
    <x v="0"/>
    <s v="Bengaluru"/>
    <s v="South"/>
    <x v="125"/>
    <x v="1"/>
    <x v="1"/>
    <x v="2"/>
    <s v="Anu"/>
    <n v="45"/>
    <x v="146"/>
    <n v="6483.19"/>
    <n v="3506.81"/>
    <x v="144"/>
    <n v="4.2"/>
    <n v="5"/>
    <x v="1"/>
    <s v="Premium"/>
    <s v="Completed"/>
    <n v="12.97"/>
    <n v="77.59"/>
    <n v="7118"/>
    <x v="194"/>
    <n v="5681"/>
    <x v="193"/>
    <x v="1"/>
  </r>
  <r>
    <n v="1199"/>
    <s v="Starbucks Mumbai"/>
    <s v="India"/>
    <x v="2"/>
    <s v="Mumbai"/>
    <s v="West"/>
    <x v="24"/>
    <x v="4"/>
    <x v="3"/>
    <x v="7"/>
    <s v="Anu"/>
    <n v="47"/>
    <x v="195"/>
    <n v="7229.29"/>
    <n v="5225.71"/>
    <x v="145"/>
    <n v="3.5"/>
    <n v="0"/>
    <x v="0"/>
    <s v="Gold"/>
    <s v="Refunded"/>
    <n v="19.07"/>
    <n v="72.87"/>
    <n v="12558"/>
    <x v="195"/>
    <n v="10946"/>
    <x v="194"/>
    <x v="2"/>
  </r>
  <r>
    <n v="1200"/>
    <s v="Starbucks New Delhi"/>
    <s v="India"/>
    <x v="1"/>
    <s v="New Delhi"/>
    <s v="North"/>
    <x v="0"/>
    <x v="0"/>
    <x v="0"/>
    <x v="1"/>
    <s v="Asha"/>
    <n v="56"/>
    <x v="196"/>
    <n v="13161.9"/>
    <n v="8398.1"/>
    <x v="146"/>
    <n v="4.5999999999999996"/>
    <n v="15"/>
    <x v="2"/>
    <s v="Premium"/>
    <s v="Completed"/>
    <n v="28.61"/>
    <n v="77.2"/>
    <n v="13742"/>
    <x v="196"/>
    <n v="11975"/>
    <x v="195"/>
    <x v="2"/>
  </r>
  <r>
    <n v="1201"/>
    <s v="Starbucks Chennai"/>
    <s v="India"/>
    <x v="3"/>
    <s v="Chennai"/>
    <s v="South"/>
    <x v="14"/>
    <x v="5"/>
    <x v="0"/>
    <x v="5"/>
    <s v="Neha"/>
    <n v="46"/>
    <x v="197"/>
    <n v="7054.75"/>
    <n v="5227.25"/>
    <x v="147"/>
    <n v="4"/>
    <n v="0"/>
    <x v="2"/>
    <s v="Gold"/>
    <s v="Cancelled"/>
    <n v="13.08"/>
    <n v="80.27"/>
    <n v="14273"/>
    <x v="197"/>
    <n v="12903"/>
    <x v="196"/>
    <x v="2"/>
  </r>
  <r>
    <n v="1202"/>
    <s v="Starbucks Mumbai"/>
    <s v="India"/>
    <x v="2"/>
    <s v="Mumbai"/>
    <s v="West"/>
    <x v="107"/>
    <x v="1"/>
    <x v="0"/>
    <x v="1"/>
    <s v="Rahul"/>
    <n v="26"/>
    <x v="198"/>
    <n v="4009.31"/>
    <n v="1580.69"/>
    <x v="114"/>
    <n v="4.0999999999999996"/>
    <n v="15"/>
    <x v="2"/>
    <s v="Regular"/>
    <s v="Refunded"/>
    <n v="19.07"/>
    <n v="72.87"/>
    <n v="6787"/>
    <x v="198"/>
    <n v="6213"/>
    <x v="197"/>
    <x v="1"/>
  </r>
  <r>
    <n v="1203"/>
    <s v="Starbucks Mumbai"/>
    <s v="India"/>
    <x v="2"/>
    <s v="Mumbai"/>
    <s v="West"/>
    <x v="21"/>
    <x v="4"/>
    <x v="1"/>
    <x v="2"/>
    <s v="Rahul"/>
    <n v="11"/>
    <x v="199"/>
    <n v="2583.87"/>
    <n v="1629.13"/>
    <x v="82"/>
    <n v="4.5999999999999996"/>
    <n v="10"/>
    <x v="0"/>
    <s v="Gold"/>
    <s v="Cancelled"/>
    <n v="19.07"/>
    <n v="72.87"/>
    <n v="12331"/>
    <x v="199"/>
    <n v="10571"/>
    <x v="198"/>
    <x v="3"/>
  </r>
  <r>
    <n v="1204"/>
    <s v="Starbucks Mumbai"/>
    <s v="India"/>
    <x v="2"/>
    <s v="Mumbai"/>
    <s v="West"/>
    <x v="126"/>
    <x v="4"/>
    <x v="3"/>
    <x v="6"/>
    <s v="Asha"/>
    <n v="35"/>
    <x v="200"/>
    <n v="7905.19"/>
    <n v="3469.81"/>
    <x v="98"/>
    <n v="3.8"/>
    <n v="10"/>
    <x v="1"/>
    <s v="Gold"/>
    <s v="Refunded"/>
    <n v="19.07"/>
    <n v="72.87"/>
    <n v="6715"/>
    <x v="200"/>
    <n v="5778"/>
    <x v="199"/>
    <x v="3"/>
  </r>
  <r>
    <n v="1205"/>
    <s v="Starbucks New Delhi"/>
    <s v="India"/>
    <x v="1"/>
    <s v="New Delhi"/>
    <s v="North"/>
    <x v="64"/>
    <x v="0"/>
    <x v="3"/>
    <x v="6"/>
    <s v="Anu"/>
    <n v="21"/>
    <x v="201"/>
    <n v="6410.25"/>
    <n v="2283.75"/>
    <x v="148"/>
    <n v="4.3"/>
    <n v="10"/>
    <x v="0"/>
    <s v="Regular"/>
    <s v="Cancelled"/>
    <n v="28.61"/>
    <n v="77.2"/>
    <n v="8166"/>
    <x v="201"/>
    <n v="6374"/>
    <x v="200"/>
    <x v="3"/>
  </r>
  <r>
    <n v="1206"/>
    <s v="Starbucks Mumbai"/>
    <s v="India"/>
    <x v="2"/>
    <s v="Mumbai"/>
    <s v="West"/>
    <x v="43"/>
    <x v="2"/>
    <x v="0"/>
    <x v="0"/>
    <s v="Vivek"/>
    <n v="28"/>
    <x v="202"/>
    <n v="5555.48"/>
    <n v="1556.52"/>
    <x v="111"/>
    <n v="3.9"/>
    <n v="5"/>
    <x v="0"/>
    <s v="Regular"/>
    <s v="Completed"/>
    <n v="19.07"/>
    <n v="72.87"/>
    <n v="7623"/>
    <x v="202"/>
    <n v="6518"/>
    <x v="201"/>
    <x v="1"/>
  </r>
  <r>
    <n v="1207"/>
    <s v="Starbucks Chennai"/>
    <s v="India"/>
    <x v="3"/>
    <s v="Chennai"/>
    <s v="South"/>
    <x v="58"/>
    <x v="5"/>
    <x v="3"/>
    <x v="7"/>
    <s v="Asha"/>
    <n v="29"/>
    <x v="203"/>
    <n v="4424.0200000000004"/>
    <n v="3318.98"/>
    <x v="149"/>
    <n v="4.4000000000000004"/>
    <n v="15"/>
    <x v="0"/>
    <s v="Regular"/>
    <s v="Refunded"/>
    <n v="13.08"/>
    <n v="80.27"/>
    <n v="13870"/>
    <x v="203"/>
    <n v="12135"/>
    <x v="202"/>
    <x v="0"/>
  </r>
  <r>
    <n v="1208"/>
    <s v="Starbucks Mumbai"/>
    <s v="India"/>
    <x v="2"/>
    <s v="Mumbai"/>
    <s v="West"/>
    <x v="127"/>
    <x v="5"/>
    <x v="1"/>
    <x v="2"/>
    <s v="Neha"/>
    <n v="44"/>
    <x v="204"/>
    <n v="7235.96"/>
    <n v="2048.04"/>
    <x v="150"/>
    <n v="3.9"/>
    <n v="15"/>
    <x v="1"/>
    <s v="Regular"/>
    <s v="Refunded"/>
    <n v="19.07"/>
    <n v="72.87"/>
    <n v="5082"/>
    <x v="204"/>
    <n v="3786"/>
    <x v="203"/>
    <x v="0"/>
  </r>
  <r>
    <n v="1209"/>
    <s v="Starbucks Mumbai"/>
    <s v="India"/>
    <x v="2"/>
    <s v="Mumbai"/>
    <s v="West"/>
    <x v="62"/>
    <x v="3"/>
    <x v="1"/>
    <x v="2"/>
    <s v="Neha"/>
    <n v="36"/>
    <x v="205"/>
    <n v="5329.23"/>
    <n v="2050.77"/>
    <x v="59"/>
    <n v="4.7"/>
    <n v="10"/>
    <x v="2"/>
    <s v="Premium"/>
    <s v="Cancelled"/>
    <n v="19.07"/>
    <n v="72.87"/>
    <n v="12330"/>
    <x v="205"/>
    <n v="11564"/>
    <x v="204"/>
    <x v="2"/>
  </r>
  <r>
    <n v="1210"/>
    <s v="Starbucks Mumbai"/>
    <s v="India"/>
    <x v="2"/>
    <s v="Mumbai"/>
    <s v="West"/>
    <x v="18"/>
    <x v="1"/>
    <x v="1"/>
    <x v="2"/>
    <s v="Vivek"/>
    <n v="27"/>
    <x v="206"/>
    <n v="6957.87"/>
    <n v="4382.13"/>
    <x v="38"/>
    <n v="3.6"/>
    <n v="10"/>
    <x v="0"/>
    <s v="Gold"/>
    <s v="Completed"/>
    <n v="19.07"/>
    <n v="72.87"/>
    <n v="9864"/>
    <x v="206"/>
    <n v="9050"/>
    <x v="205"/>
    <x v="3"/>
  </r>
  <r>
    <n v="1211"/>
    <s v="Starbucks Chennai"/>
    <s v="India"/>
    <x v="3"/>
    <s v="Chennai"/>
    <s v="South"/>
    <x v="102"/>
    <x v="4"/>
    <x v="1"/>
    <x v="8"/>
    <s v="Rahul"/>
    <n v="40"/>
    <x v="207"/>
    <n v="9618.15"/>
    <n v="3821.85"/>
    <x v="93"/>
    <n v="4.3"/>
    <n v="0"/>
    <x v="1"/>
    <s v="Regular"/>
    <s v="Cancelled"/>
    <n v="13.08"/>
    <n v="80.27"/>
    <n v="11005"/>
    <x v="207"/>
    <n v="9060"/>
    <x v="206"/>
    <x v="1"/>
  </r>
  <r>
    <n v="1212"/>
    <s v="Starbucks Chennai"/>
    <s v="India"/>
    <x v="3"/>
    <s v="Chennai"/>
    <s v="South"/>
    <x v="4"/>
    <x v="0"/>
    <x v="2"/>
    <x v="4"/>
    <s v="Asha"/>
    <n v="45"/>
    <x v="208"/>
    <n v="8171.46"/>
    <n v="4698.54"/>
    <x v="151"/>
    <n v="3.8"/>
    <n v="5"/>
    <x v="1"/>
    <s v="Regular"/>
    <s v="Completed"/>
    <n v="13.08"/>
    <n v="80.27"/>
    <n v="8264"/>
    <x v="208"/>
    <n v="6724"/>
    <x v="207"/>
    <x v="1"/>
  </r>
  <r>
    <n v="1213"/>
    <s v="Starbucks Kochi"/>
    <s v="India"/>
    <x v="4"/>
    <s v="Kochi"/>
    <s v="South"/>
    <x v="20"/>
    <x v="0"/>
    <x v="2"/>
    <x v="3"/>
    <s v="Vivek"/>
    <n v="51"/>
    <x v="209"/>
    <n v="5730.56"/>
    <n v="4316.4399999999996"/>
    <x v="93"/>
    <n v="4"/>
    <n v="10"/>
    <x v="0"/>
    <s v="Gold"/>
    <s v="Cancelled"/>
    <n v="9.93"/>
    <n v="76.260000000000005"/>
    <n v="10758"/>
    <x v="209"/>
    <n v="9911"/>
    <x v="208"/>
    <x v="0"/>
  </r>
  <r>
    <n v="1214"/>
    <s v="Starbucks Bengaluru"/>
    <s v="India"/>
    <x v="0"/>
    <s v="Bengaluru"/>
    <s v="South"/>
    <x v="0"/>
    <x v="0"/>
    <x v="1"/>
    <x v="2"/>
    <s v="Rahul"/>
    <n v="17"/>
    <x v="210"/>
    <n v="5169.6000000000004"/>
    <n v="1749.4"/>
    <x v="152"/>
    <n v="4.0999999999999996"/>
    <n v="0"/>
    <x v="1"/>
    <s v="Premium"/>
    <s v="Cancelled"/>
    <n v="12.97"/>
    <n v="77.59"/>
    <n v="10157"/>
    <x v="210"/>
    <n v="8804"/>
    <x v="209"/>
    <x v="2"/>
  </r>
  <r>
    <n v="1215"/>
    <s v="Starbucks Kochi"/>
    <s v="India"/>
    <x v="4"/>
    <s v="Kochi"/>
    <s v="South"/>
    <x v="14"/>
    <x v="5"/>
    <x v="3"/>
    <x v="7"/>
    <s v="Rahul"/>
    <n v="5"/>
    <x v="211"/>
    <n v="1579.45"/>
    <n v="475.55"/>
    <x v="94"/>
    <n v="4.8"/>
    <n v="10"/>
    <x v="0"/>
    <s v="Gold"/>
    <s v="Refunded"/>
    <n v="9.93"/>
    <n v="76.260000000000005"/>
    <n v="10687"/>
    <x v="211"/>
    <n v="9469"/>
    <x v="210"/>
    <x v="3"/>
  </r>
  <r>
    <n v="1216"/>
    <s v="Starbucks Chennai"/>
    <s v="India"/>
    <x v="3"/>
    <s v="Chennai"/>
    <s v="South"/>
    <x v="128"/>
    <x v="1"/>
    <x v="1"/>
    <x v="8"/>
    <s v="Neha"/>
    <n v="27"/>
    <x v="212"/>
    <n v="3731.59"/>
    <n v="2883.41"/>
    <x v="89"/>
    <n v="3.8"/>
    <n v="10"/>
    <x v="1"/>
    <s v="Premium"/>
    <s v="Cancelled"/>
    <n v="13.08"/>
    <n v="80.27"/>
    <n v="7112"/>
    <x v="212"/>
    <n v="5859"/>
    <x v="211"/>
    <x v="1"/>
  </r>
  <r>
    <n v="1217"/>
    <s v="Starbucks Mumbai"/>
    <s v="India"/>
    <x v="2"/>
    <s v="Mumbai"/>
    <s v="West"/>
    <x v="129"/>
    <x v="1"/>
    <x v="2"/>
    <x v="4"/>
    <s v="Vivek"/>
    <n v="26"/>
    <x v="213"/>
    <n v="4291.72"/>
    <n v="3144.28"/>
    <x v="42"/>
    <n v="3.8"/>
    <n v="15"/>
    <x v="1"/>
    <s v="Regular"/>
    <s v="Cancelled"/>
    <n v="19.07"/>
    <n v="72.87"/>
    <n v="11489"/>
    <x v="213"/>
    <n v="9695"/>
    <x v="212"/>
    <x v="0"/>
  </r>
  <r>
    <n v="1218"/>
    <s v="Starbucks Bengaluru"/>
    <s v="India"/>
    <x v="0"/>
    <s v="Bengaluru"/>
    <s v="South"/>
    <x v="130"/>
    <x v="4"/>
    <x v="0"/>
    <x v="5"/>
    <s v="Neha"/>
    <n v="55"/>
    <x v="214"/>
    <n v="8111.28"/>
    <n v="6353.72"/>
    <x v="22"/>
    <n v="4.5"/>
    <n v="15"/>
    <x v="1"/>
    <s v="Regular"/>
    <s v="Refunded"/>
    <n v="12.97"/>
    <n v="77.59"/>
    <n v="12468"/>
    <x v="16"/>
    <n v="11327"/>
    <x v="213"/>
    <x v="3"/>
  </r>
  <r>
    <n v="1219"/>
    <s v="Starbucks Chennai"/>
    <s v="India"/>
    <x v="3"/>
    <s v="Chennai"/>
    <s v="South"/>
    <x v="81"/>
    <x v="5"/>
    <x v="1"/>
    <x v="2"/>
    <s v="Rahul"/>
    <n v="29"/>
    <x v="215"/>
    <n v="5232.3599999999997"/>
    <n v="2365.64"/>
    <x v="70"/>
    <n v="3.9"/>
    <n v="0"/>
    <x v="0"/>
    <s v="Gold"/>
    <s v="Refunded"/>
    <n v="13.08"/>
    <n v="80.27"/>
    <n v="6170"/>
    <x v="214"/>
    <n v="5033"/>
    <x v="214"/>
    <x v="3"/>
  </r>
  <r>
    <n v="1220"/>
    <s v="Starbucks Kochi"/>
    <s v="India"/>
    <x v="4"/>
    <s v="Kochi"/>
    <s v="South"/>
    <x v="126"/>
    <x v="4"/>
    <x v="2"/>
    <x v="3"/>
    <s v="Neha"/>
    <n v="52"/>
    <x v="216"/>
    <n v="8593.93"/>
    <n v="5446.07"/>
    <x v="153"/>
    <n v="4.0999999999999996"/>
    <n v="10"/>
    <x v="2"/>
    <s v="Gold"/>
    <s v="Cancelled"/>
    <n v="9.93"/>
    <n v="76.260000000000005"/>
    <n v="5521"/>
    <x v="215"/>
    <n v="3536"/>
    <x v="215"/>
    <x v="1"/>
  </r>
  <r>
    <n v="1221"/>
    <s v="Starbucks Chennai"/>
    <s v="India"/>
    <x v="3"/>
    <s v="Chennai"/>
    <s v="South"/>
    <x v="131"/>
    <x v="2"/>
    <x v="0"/>
    <x v="5"/>
    <s v="Rahul"/>
    <n v="18"/>
    <x v="217"/>
    <n v="4138.87"/>
    <n v="2935.13"/>
    <x v="154"/>
    <n v="4.3"/>
    <n v="10"/>
    <x v="0"/>
    <s v="Gold"/>
    <s v="Completed"/>
    <n v="13.08"/>
    <n v="80.27"/>
    <n v="13794"/>
    <x v="216"/>
    <n v="12972"/>
    <x v="216"/>
    <x v="0"/>
  </r>
  <r>
    <n v="1222"/>
    <s v="Starbucks New Delhi"/>
    <s v="India"/>
    <x v="1"/>
    <s v="New Delhi"/>
    <s v="North"/>
    <x v="105"/>
    <x v="4"/>
    <x v="0"/>
    <x v="1"/>
    <s v="Neha"/>
    <n v="31"/>
    <x v="218"/>
    <n v="9100.2900000000009"/>
    <n v="3361.71"/>
    <x v="114"/>
    <n v="3.7"/>
    <n v="10"/>
    <x v="2"/>
    <s v="Premium"/>
    <s v="Cancelled"/>
    <n v="28.61"/>
    <n v="77.2"/>
    <n v="11727"/>
    <x v="217"/>
    <n v="10502"/>
    <x v="217"/>
    <x v="2"/>
  </r>
  <r>
    <n v="1223"/>
    <s v="Starbucks Mumbai"/>
    <s v="India"/>
    <x v="2"/>
    <s v="Mumbai"/>
    <s v="West"/>
    <x v="91"/>
    <x v="3"/>
    <x v="1"/>
    <x v="2"/>
    <s v="Vivek"/>
    <n v="10"/>
    <x v="219"/>
    <n v="1611.73"/>
    <n v="1168.27"/>
    <x v="107"/>
    <n v="4.5"/>
    <n v="5"/>
    <x v="0"/>
    <s v="Premium"/>
    <s v="Completed"/>
    <n v="19.07"/>
    <n v="72.87"/>
    <n v="10316"/>
    <x v="218"/>
    <n v="8841"/>
    <x v="218"/>
    <x v="0"/>
  </r>
  <r>
    <n v="1224"/>
    <s v="Starbucks New Delhi"/>
    <s v="India"/>
    <x v="1"/>
    <s v="New Delhi"/>
    <s v="North"/>
    <x v="132"/>
    <x v="0"/>
    <x v="3"/>
    <x v="6"/>
    <s v="Vivek"/>
    <n v="11"/>
    <x v="220"/>
    <n v="2880.94"/>
    <n v="1255.06"/>
    <x v="155"/>
    <n v="4.5999999999999996"/>
    <n v="15"/>
    <x v="2"/>
    <s v="Premium"/>
    <s v="Completed"/>
    <n v="28.61"/>
    <n v="77.2"/>
    <n v="5205"/>
    <x v="219"/>
    <n v="3568"/>
    <x v="219"/>
    <x v="0"/>
  </r>
  <r>
    <n v="1225"/>
    <s v="Starbucks Bengaluru"/>
    <s v="India"/>
    <x v="0"/>
    <s v="Bengaluru"/>
    <s v="South"/>
    <x v="115"/>
    <x v="5"/>
    <x v="1"/>
    <x v="8"/>
    <s v="Rahul"/>
    <n v="19"/>
    <x v="221"/>
    <n v="2358.11"/>
    <n v="1232.8900000000001"/>
    <x v="156"/>
    <n v="4.0999999999999996"/>
    <n v="5"/>
    <x v="2"/>
    <s v="Gold"/>
    <s v="Completed"/>
    <n v="12.97"/>
    <n v="77.59"/>
    <n v="10743"/>
    <x v="220"/>
    <n v="8923"/>
    <x v="220"/>
    <x v="2"/>
  </r>
  <r>
    <n v="1226"/>
    <s v="Starbucks Kochi"/>
    <s v="India"/>
    <x v="4"/>
    <s v="Kochi"/>
    <s v="South"/>
    <x v="89"/>
    <x v="2"/>
    <x v="0"/>
    <x v="0"/>
    <s v="Rahul"/>
    <n v="11"/>
    <x v="222"/>
    <n v="3646.06"/>
    <n v="951.94"/>
    <x v="157"/>
    <n v="4.8"/>
    <n v="10"/>
    <x v="1"/>
    <s v="Gold"/>
    <s v="Completed"/>
    <n v="9.93"/>
    <n v="76.260000000000005"/>
    <n v="14204"/>
    <x v="221"/>
    <n v="13484"/>
    <x v="221"/>
    <x v="2"/>
  </r>
  <r>
    <n v="1227"/>
    <s v="Starbucks Bengaluru"/>
    <s v="India"/>
    <x v="0"/>
    <s v="Bengaluru"/>
    <s v="South"/>
    <x v="40"/>
    <x v="3"/>
    <x v="3"/>
    <x v="6"/>
    <s v="Neha"/>
    <n v="21"/>
    <x v="223"/>
    <n v="2636.46"/>
    <n v="1353.54"/>
    <x v="70"/>
    <n v="4"/>
    <n v="0"/>
    <x v="1"/>
    <s v="Regular"/>
    <s v="Completed"/>
    <n v="12.97"/>
    <n v="77.59"/>
    <n v="13674"/>
    <x v="222"/>
    <n v="11922"/>
    <x v="222"/>
    <x v="3"/>
  </r>
  <r>
    <n v="1228"/>
    <s v="Starbucks Chennai"/>
    <s v="India"/>
    <x v="3"/>
    <s v="Chennai"/>
    <s v="South"/>
    <x v="53"/>
    <x v="4"/>
    <x v="3"/>
    <x v="7"/>
    <s v="Anu"/>
    <n v="45"/>
    <x v="224"/>
    <n v="11621.28"/>
    <n v="5928.72"/>
    <x v="69"/>
    <n v="5"/>
    <n v="5"/>
    <x v="1"/>
    <s v="Regular"/>
    <s v="Completed"/>
    <n v="13.08"/>
    <n v="80.27"/>
    <n v="12947"/>
    <x v="162"/>
    <n v="11755"/>
    <x v="223"/>
    <x v="2"/>
  </r>
  <r>
    <n v="1229"/>
    <s v="Starbucks Mumbai"/>
    <s v="India"/>
    <x v="2"/>
    <s v="Mumbai"/>
    <s v="West"/>
    <x v="93"/>
    <x v="4"/>
    <x v="3"/>
    <x v="6"/>
    <s v="Anu"/>
    <n v="26"/>
    <x v="178"/>
    <n v="3798.3"/>
    <n v="2831.7"/>
    <x v="2"/>
    <n v="4.0999999999999996"/>
    <n v="15"/>
    <x v="2"/>
    <s v="Gold"/>
    <s v="Completed"/>
    <n v="19.07"/>
    <n v="72.87"/>
    <n v="13167"/>
    <x v="223"/>
    <n v="12583"/>
    <x v="224"/>
    <x v="1"/>
  </r>
  <r>
    <n v="1230"/>
    <s v="Starbucks Chennai"/>
    <s v="India"/>
    <x v="3"/>
    <s v="Chennai"/>
    <s v="South"/>
    <x v="133"/>
    <x v="1"/>
    <x v="1"/>
    <x v="2"/>
    <s v="Anu"/>
    <n v="40"/>
    <x v="225"/>
    <n v="5109.72"/>
    <n v="2570.2800000000002"/>
    <x v="152"/>
    <n v="3.8"/>
    <n v="10"/>
    <x v="1"/>
    <s v="Premium"/>
    <s v="Completed"/>
    <n v="13.08"/>
    <n v="80.27"/>
    <n v="14198"/>
    <x v="224"/>
    <n v="12917"/>
    <x v="225"/>
    <x v="2"/>
  </r>
  <r>
    <n v="1231"/>
    <s v="Starbucks Bengaluru"/>
    <s v="India"/>
    <x v="0"/>
    <s v="Bengaluru"/>
    <s v="South"/>
    <x v="68"/>
    <x v="0"/>
    <x v="1"/>
    <x v="8"/>
    <s v="Asha"/>
    <n v="60"/>
    <x v="226"/>
    <n v="15338.31"/>
    <n v="8421.69"/>
    <x v="158"/>
    <n v="4.5"/>
    <n v="15"/>
    <x v="2"/>
    <s v="Gold"/>
    <s v="Cancelled"/>
    <n v="12.97"/>
    <n v="77.59"/>
    <n v="5299"/>
    <x v="225"/>
    <n v="4048"/>
    <x v="226"/>
    <x v="1"/>
  </r>
  <r>
    <n v="1232"/>
    <s v="Starbucks Mumbai"/>
    <s v="India"/>
    <x v="2"/>
    <s v="Mumbai"/>
    <s v="West"/>
    <x v="20"/>
    <x v="0"/>
    <x v="0"/>
    <x v="0"/>
    <s v="Vivek"/>
    <n v="31"/>
    <x v="227"/>
    <n v="5687.4"/>
    <n v="3860.6"/>
    <x v="68"/>
    <n v="3.6"/>
    <n v="0"/>
    <x v="1"/>
    <s v="Gold"/>
    <s v="Cancelled"/>
    <n v="19.07"/>
    <n v="72.87"/>
    <n v="9822"/>
    <x v="226"/>
    <n v="8546"/>
    <x v="227"/>
    <x v="2"/>
  </r>
  <r>
    <n v="1233"/>
    <s v="Starbucks Kochi"/>
    <s v="India"/>
    <x v="4"/>
    <s v="Kochi"/>
    <s v="South"/>
    <x v="123"/>
    <x v="4"/>
    <x v="1"/>
    <x v="2"/>
    <s v="Vivek"/>
    <n v="21"/>
    <x v="228"/>
    <n v="5110.8100000000004"/>
    <n v="1945.19"/>
    <x v="153"/>
    <n v="4"/>
    <n v="5"/>
    <x v="2"/>
    <s v="Premium"/>
    <s v="Refunded"/>
    <n v="9.93"/>
    <n v="76.260000000000005"/>
    <n v="14409"/>
    <x v="227"/>
    <n v="12950"/>
    <x v="228"/>
    <x v="2"/>
  </r>
  <r>
    <n v="1234"/>
    <s v="Starbucks Bengaluru"/>
    <s v="India"/>
    <x v="0"/>
    <s v="Bengaluru"/>
    <s v="South"/>
    <x v="34"/>
    <x v="0"/>
    <x v="1"/>
    <x v="8"/>
    <s v="Neha"/>
    <n v="57"/>
    <x v="229"/>
    <n v="15200.8"/>
    <n v="5376.2"/>
    <x v="159"/>
    <n v="3.8"/>
    <n v="10"/>
    <x v="2"/>
    <s v="Premium"/>
    <s v="Refunded"/>
    <n v="12.97"/>
    <n v="77.59"/>
    <n v="10700"/>
    <x v="228"/>
    <n v="9553"/>
    <x v="229"/>
    <x v="3"/>
  </r>
  <r>
    <n v="1235"/>
    <s v="Starbucks Bengaluru"/>
    <s v="India"/>
    <x v="0"/>
    <s v="Bengaluru"/>
    <s v="South"/>
    <x v="45"/>
    <x v="3"/>
    <x v="1"/>
    <x v="2"/>
    <s v="Asha"/>
    <n v="52"/>
    <x v="230"/>
    <n v="10732.79"/>
    <n v="3879.21"/>
    <x v="113"/>
    <n v="4.2"/>
    <n v="5"/>
    <x v="1"/>
    <s v="Gold"/>
    <s v="Cancelled"/>
    <n v="12.97"/>
    <n v="77.59"/>
    <n v="9043"/>
    <x v="229"/>
    <n v="7267"/>
    <x v="230"/>
    <x v="1"/>
  </r>
  <r>
    <n v="1236"/>
    <s v="Starbucks Mumbai"/>
    <s v="India"/>
    <x v="2"/>
    <s v="Mumbai"/>
    <s v="West"/>
    <x v="101"/>
    <x v="3"/>
    <x v="2"/>
    <x v="4"/>
    <s v="Anu"/>
    <n v="38"/>
    <x v="231"/>
    <n v="5846.58"/>
    <n v="2779.42"/>
    <x v="57"/>
    <n v="4.5"/>
    <n v="15"/>
    <x v="0"/>
    <s v="Regular"/>
    <s v="Completed"/>
    <n v="19.07"/>
    <n v="72.87"/>
    <n v="14762"/>
    <x v="230"/>
    <n v="13430"/>
    <x v="231"/>
    <x v="0"/>
  </r>
  <r>
    <n v="1237"/>
    <s v="Starbucks New Delhi"/>
    <s v="India"/>
    <x v="1"/>
    <s v="New Delhi"/>
    <s v="North"/>
    <x v="10"/>
    <x v="4"/>
    <x v="1"/>
    <x v="8"/>
    <s v="Anu"/>
    <n v="12"/>
    <x v="232"/>
    <n v="2273.79"/>
    <n v="810.21"/>
    <x v="63"/>
    <n v="3.5"/>
    <n v="0"/>
    <x v="1"/>
    <s v="Regular"/>
    <s v="Refunded"/>
    <n v="28.61"/>
    <n v="77.2"/>
    <n v="12649"/>
    <x v="231"/>
    <n v="10942"/>
    <x v="232"/>
    <x v="0"/>
  </r>
  <r>
    <n v="1238"/>
    <s v="Starbucks Mumbai"/>
    <s v="India"/>
    <x v="2"/>
    <s v="Mumbai"/>
    <s v="West"/>
    <x v="134"/>
    <x v="4"/>
    <x v="0"/>
    <x v="5"/>
    <s v="Anu"/>
    <n v="5"/>
    <x v="233"/>
    <n v="877.33"/>
    <n v="222.67"/>
    <x v="101"/>
    <n v="4.0999999999999996"/>
    <n v="5"/>
    <x v="1"/>
    <s v="Regular"/>
    <s v="Completed"/>
    <n v="19.07"/>
    <n v="72.87"/>
    <n v="7183"/>
    <x v="232"/>
    <n v="6620"/>
    <x v="233"/>
    <x v="2"/>
  </r>
  <r>
    <n v="1239"/>
    <s v="Starbucks Bengaluru"/>
    <s v="India"/>
    <x v="0"/>
    <s v="Bengaluru"/>
    <s v="South"/>
    <x v="135"/>
    <x v="0"/>
    <x v="0"/>
    <x v="5"/>
    <s v="Anu"/>
    <n v="22"/>
    <x v="234"/>
    <n v="3596.03"/>
    <n v="2387.9699999999998"/>
    <x v="160"/>
    <n v="3.9"/>
    <n v="5"/>
    <x v="1"/>
    <s v="Gold"/>
    <s v="Cancelled"/>
    <n v="12.97"/>
    <n v="77.59"/>
    <n v="7818"/>
    <x v="233"/>
    <n v="5882"/>
    <x v="234"/>
    <x v="0"/>
  </r>
  <r>
    <n v="1240"/>
    <s v="Starbucks Mumbai"/>
    <s v="India"/>
    <x v="2"/>
    <s v="Mumbai"/>
    <s v="West"/>
    <x v="129"/>
    <x v="1"/>
    <x v="2"/>
    <x v="4"/>
    <s v="Asha"/>
    <n v="14"/>
    <x v="235"/>
    <n v="3480.7"/>
    <n v="1447.3"/>
    <x v="12"/>
    <n v="4.3"/>
    <n v="5"/>
    <x v="0"/>
    <s v="Premium"/>
    <s v="Cancelled"/>
    <n v="19.07"/>
    <n v="72.87"/>
    <n v="11148"/>
    <x v="234"/>
    <n v="10601"/>
    <x v="235"/>
    <x v="1"/>
  </r>
  <r>
    <n v="1241"/>
    <s v="Starbucks Bengaluru"/>
    <s v="India"/>
    <x v="0"/>
    <s v="Bengaluru"/>
    <s v="South"/>
    <x v="15"/>
    <x v="3"/>
    <x v="0"/>
    <x v="0"/>
    <s v="Rahul"/>
    <n v="57"/>
    <x v="236"/>
    <n v="7713.59"/>
    <n v="3458.41"/>
    <x v="158"/>
    <n v="4.3"/>
    <n v="5"/>
    <x v="2"/>
    <s v="Regular"/>
    <s v="Completed"/>
    <n v="12.97"/>
    <n v="77.59"/>
    <n v="10986"/>
    <x v="235"/>
    <n v="10395"/>
    <x v="236"/>
    <x v="1"/>
  </r>
  <r>
    <n v="1242"/>
    <s v="Starbucks Chennai"/>
    <s v="India"/>
    <x v="3"/>
    <s v="Chennai"/>
    <s v="South"/>
    <x v="94"/>
    <x v="0"/>
    <x v="2"/>
    <x v="3"/>
    <s v="Anu"/>
    <n v="16"/>
    <x v="237"/>
    <n v="2845.92"/>
    <n v="1538.08"/>
    <x v="104"/>
    <n v="4.5999999999999996"/>
    <n v="5"/>
    <x v="0"/>
    <s v="Premium"/>
    <s v="Cancelled"/>
    <n v="13.08"/>
    <n v="80.27"/>
    <n v="12795"/>
    <x v="236"/>
    <n v="11934"/>
    <x v="237"/>
    <x v="3"/>
  </r>
  <r>
    <n v="1243"/>
    <s v="Starbucks Bengaluru"/>
    <s v="India"/>
    <x v="0"/>
    <s v="Bengaluru"/>
    <s v="South"/>
    <x v="119"/>
    <x v="3"/>
    <x v="2"/>
    <x v="4"/>
    <s v="Anu"/>
    <n v="60"/>
    <x v="238"/>
    <n v="15955.82"/>
    <n v="5944.18"/>
    <x v="60"/>
    <n v="4.8"/>
    <n v="5"/>
    <x v="0"/>
    <s v="Regular"/>
    <s v="Completed"/>
    <n v="12.97"/>
    <n v="77.59"/>
    <n v="8692"/>
    <x v="237"/>
    <n v="7170"/>
    <x v="238"/>
    <x v="2"/>
  </r>
  <r>
    <n v="1244"/>
    <s v="Starbucks Chennai"/>
    <s v="India"/>
    <x v="3"/>
    <s v="Chennai"/>
    <s v="South"/>
    <x v="30"/>
    <x v="5"/>
    <x v="3"/>
    <x v="7"/>
    <s v="Neha"/>
    <n v="38"/>
    <x v="239"/>
    <n v="8125.62"/>
    <n v="2628.38"/>
    <x v="151"/>
    <n v="3.8"/>
    <n v="10"/>
    <x v="1"/>
    <s v="Premium"/>
    <s v="Refunded"/>
    <n v="13.08"/>
    <n v="80.27"/>
    <n v="8082"/>
    <x v="238"/>
    <n v="6936"/>
    <x v="239"/>
    <x v="0"/>
  </r>
  <r>
    <n v="1245"/>
    <s v="Starbucks Kochi"/>
    <s v="India"/>
    <x v="4"/>
    <s v="Kochi"/>
    <s v="South"/>
    <x v="84"/>
    <x v="5"/>
    <x v="3"/>
    <x v="7"/>
    <s v="Vivek"/>
    <n v="31"/>
    <x v="240"/>
    <n v="4219.1400000000003"/>
    <n v="2755.86"/>
    <x v="43"/>
    <n v="4.4000000000000004"/>
    <n v="5"/>
    <x v="1"/>
    <s v="Premium"/>
    <s v="Completed"/>
    <n v="9.93"/>
    <n v="76.260000000000005"/>
    <n v="11211"/>
    <x v="239"/>
    <n v="9392"/>
    <x v="240"/>
    <x v="1"/>
  </r>
  <r>
    <n v="1246"/>
    <s v="Starbucks Bengaluru"/>
    <s v="India"/>
    <x v="0"/>
    <s v="Bengaluru"/>
    <s v="South"/>
    <x v="74"/>
    <x v="5"/>
    <x v="1"/>
    <x v="2"/>
    <s v="Neha"/>
    <n v="7"/>
    <x v="241"/>
    <n v="885.64"/>
    <n v="535.36"/>
    <x v="161"/>
    <n v="4.8"/>
    <n v="10"/>
    <x v="2"/>
    <s v="Gold"/>
    <s v="Cancelled"/>
    <n v="12.97"/>
    <n v="77.59"/>
    <n v="10038"/>
    <x v="240"/>
    <n v="9492"/>
    <x v="241"/>
    <x v="1"/>
  </r>
  <r>
    <n v="1247"/>
    <s v="Starbucks Mumbai"/>
    <s v="India"/>
    <x v="2"/>
    <s v="Mumbai"/>
    <s v="West"/>
    <x v="127"/>
    <x v="5"/>
    <x v="2"/>
    <x v="3"/>
    <s v="Vivek"/>
    <n v="57"/>
    <x v="242"/>
    <n v="9500.48"/>
    <n v="3267.52"/>
    <x v="162"/>
    <n v="5"/>
    <n v="15"/>
    <x v="2"/>
    <s v="Gold"/>
    <s v="Completed"/>
    <n v="19.07"/>
    <n v="72.87"/>
    <n v="10444"/>
    <x v="241"/>
    <n v="8722"/>
    <x v="242"/>
    <x v="0"/>
  </r>
  <r>
    <n v="1248"/>
    <s v="Starbucks Mumbai"/>
    <s v="India"/>
    <x v="2"/>
    <s v="Mumbai"/>
    <s v="West"/>
    <x v="42"/>
    <x v="3"/>
    <x v="2"/>
    <x v="3"/>
    <s v="Rahul"/>
    <n v="9"/>
    <x v="79"/>
    <n v="1516.02"/>
    <n v="616.98"/>
    <x v="73"/>
    <n v="3.8"/>
    <n v="5"/>
    <x v="1"/>
    <s v="Premium"/>
    <s v="Cancelled"/>
    <n v="19.07"/>
    <n v="72.87"/>
    <n v="14236"/>
    <x v="242"/>
    <n v="13106"/>
    <x v="243"/>
    <x v="0"/>
  </r>
  <r>
    <n v="1249"/>
    <s v="Starbucks Kochi"/>
    <s v="India"/>
    <x v="4"/>
    <s v="Kochi"/>
    <s v="South"/>
    <x v="25"/>
    <x v="2"/>
    <x v="0"/>
    <x v="0"/>
    <s v="Vivek"/>
    <n v="22"/>
    <x v="243"/>
    <n v="4119.17"/>
    <n v="2854.83"/>
    <x v="102"/>
    <n v="4.5"/>
    <n v="15"/>
    <x v="1"/>
    <s v="Regular"/>
    <s v="Refunded"/>
    <n v="9.93"/>
    <n v="76.260000000000005"/>
    <n v="7488"/>
    <x v="243"/>
    <n v="6043"/>
    <x v="244"/>
    <x v="3"/>
  </r>
  <r>
    <n v="1250"/>
    <s v="Starbucks Chennai"/>
    <s v="India"/>
    <x v="3"/>
    <s v="Chennai"/>
    <s v="South"/>
    <x v="108"/>
    <x v="4"/>
    <x v="2"/>
    <x v="4"/>
    <s v="Rahul"/>
    <n v="52"/>
    <x v="244"/>
    <n v="13721.02"/>
    <n v="3646.98"/>
    <x v="163"/>
    <n v="3.9"/>
    <n v="15"/>
    <x v="0"/>
    <s v="Regular"/>
    <s v="Cancelled"/>
    <n v="13.08"/>
    <n v="80.27"/>
    <n v="10414"/>
    <x v="244"/>
    <n v="8428"/>
    <x v="245"/>
    <x v="2"/>
  </r>
  <r>
    <n v="1251"/>
    <s v="Starbucks Mumbai"/>
    <s v="India"/>
    <x v="2"/>
    <s v="Mumbai"/>
    <s v="West"/>
    <x v="79"/>
    <x v="3"/>
    <x v="1"/>
    <x v="8"/>
    <s v="Rahul"/>
    <n v="39"/>
    <x v="245"/>
    <n v="9968.5499999999993"/>
    <n v="5553.45"/>
    <x v="73"/>
    <n v="4.9000000000000004"/>
    <n v="10"/>
    <x v="1"/>
    <s v="Premium"/>
    <s v="Refunded"/>
    <n v="19.07"/>
    <n v="72.87"/>
    <n v="9782"/>
    <x v="245"/>
    <n v="8999"/>
    <x v="246"/>
    <x v="3"/>
  </r>
  <r>
    <n v="1252"/>
    <s v="Starbucks New Delhi"/>
    <s v="India"/>
    <x v="1"/>
    <s v="New Delhi"/>
    <s v="North"/>
    <x v="76"/>
    <x v="2"/>
    <x v="3"/>
    <x v="7"/>
    <s v="Vivek"/>
    <n v="50"/>
    <x v="246"/>
    <n v="6937.11"/>
    <n v="4812.8900000000003"/>
    <x v="164"/>
    <n v="4"/>
    <n v="10"/>
    <x v="0"/>
    <s v="Gold"/>
    <s v="Cancelled"/>
    <n v="28.61"/>
    <n v="77.2"/>
    <n v="12693"/>
    <x v="246"/>
    <n v="12101"/>
    <x v="32"/>
    <x v="1"/>
  </r>
  <r>
    <n v="1253"/>
    <s v="Starbucks Chennai"/>
    <s v="India"/>
    <x v="3"/>
    <s v="Chennai"/>
    <s v="South"/>
    <x v="44"/>
    <x v="0"/>
    <x v="2"/>
    <x v="3"/>
    <s v="Vivek"/>
    <n v="8"/>
    <x v="247"/>
    <n v="1318.57"/>
    <n v="593.42999999999995"/>
    <x v="165"/>
    <n v="3.9"/>
    <n v="0"/>
    <x v="0"/>
    <s v="Premium"/>
    <s v="Cancelled"/>
    <n v="13.08"/>
    <n v="80.27"/>
    <n v="13526"/>
    <x v="247"/>
    <n v="12415"/>
    <x v="247"/>
    <x v="3"/>
  </r>
  <r>
    <n v="1254"/>
    <s v="Starbucks Bengaluru"/>
    <s v="India"/>
    <x v="0"/>
    <s v="Bengaluru"/>
    <s v="South"/>
    <x v="39"/>
    <x v="4"/>
    <x v="1"/>
    <x v="2"/>
    <s v="Anu"/>
    <n v="19"/>
    <x v="23"/>
    <n v="2661.67"/>
    <n v="1499.33"/>
    <x v="46"/>
    <n v="4.3"/>
    <n v="10"/>
    <x v="1"/>
    <s v="Gold"/>
    <s v="Cancelled"/>
    <n v="12.97"/>
    <n v="77.59"/>
    <n v="14778"/>
    <x v="248"/>
    <n v="13591"/>
    <x v="248"/>
    <x v="2"/>
  </r>
  <r>
    <n v="1255"/>
    <s v="Starbucks Chennai"/>
    <s v="India"/>
    <x v="3"/>
    <s v="Chennai"/>
    <s v="South"/>
    <x v="52"/>
    <x v="5"/>
    <x v="0"/>
    <x v="1"/>
    <s v="Asha"/>
    <n v="56"/>
    <x v="248"/>
    <n v="12464.65"/>
    <n v="6519.35"/>
    <x v="166"/>
    <n v="4.4000000000000004"/>
    <n v="10"/>
    <x v="0"/>
    <s v="Gold"/>
    <s v="Completed"/>
    <n v="13.08"/>
    <n v="80.27"/>
    <n v="6169"/>
    <x v="249"/>
    <n v="4928"/>
    <x v="249"/>
    <x v="0"/>
  </r>
  <r>
    <n v="1256"/>
    <s v="Starbucks New Delhi"/>
    <s v="India"/>
    <x v="1"/>
    <s v="New Delhi"/>
    <s v="North"/>
    <x v="120"/>
    <x v="5"/>
    <x v="3"/>
    <x v="7"/>
    <s v="Asha"/>
    <n v="20"/>
    <x v="249"/>
    <n v="3160.73"/>
    <n v="1579.27"/>
    <x v="112"/>
    <n v="4.0999999999999996"/>
    <n v="0"/>
    <x v="2"/>
    <s v="Regular"/>
    <s v="Cancelled"/>
    <n v="28.61"/>
    <n v="77.2"/>
    <n v="8867"/>
    <x v="250"/>
    <n v="6924"/>
    <x v="250"/>
    <x v="0"/>
  </r>
  <r>
    <n v="1257"/>
    <s v="Starbucks Mumbai"/>
    <s v="India"/>
    <x v="2"/>
    <s v="Mumbai"/>
    <s v="West"/>
    <x v="128"/>
    <x v="1"/>
    <x v="1"/>
    <x v="8"/>
    <s v="Vivek"/>
    <n v="39"/>
    <x v="250"/>
    <n v="9018.0400000000009"/>
    <n v="6152.96"/>
    <x v="165"/>
    <n v="5"/>
    <n v="10"/>
    <x v="1"/>
    <s v="Gold"/>
    <s v="Refunded"/>
    <n v="19.07"/>
    <n v="72.87"/>
    <n v="7289"/>
    <x v="251"/>
    <n v="5551"/>
    <x v="251"/>
    <x v="2"/>
  </r>
  <r>
    <n v="1258"/>
    <s v="Starbucks Bengaluru"/>
    <s v="India"/>
    <x v="0"/>
    <s v="Bengaluru"/>
    <s v="South"/>
    <x v="125"/>
    <x v="1"/>
    <x v="0"/>
    <x v="0"/>
    <s v="Neha"/>
    <n v="17"/>
    <x v="251"/>
    <n v="2640.06"/>
    <n v="1031.94"/>
    <x v="95"/>
    <n v="4.4000000000000004"/>
    <n v="0"/>
    <x v="1"/>
    <s v="Regular"/>
    <s v="Completed"/>
    <n v="12.97"/>
    <n v="77.59"/>
    <n v="14282"/>
    <x v="252"/>
    <n v="12451"/>
    <x v="252"/>
    <x v="3"/>
  </r>
  <r>
    <n v="1259"/>
    <s v="Starbucks Mumbai"/>
    <s v="India"/>
    <x v="2"/>
    <s v="Mumbai"/>
    <s v="West"/>
    <x v="136"/>
    <x v="1"/>
    <x v="1"/>
    <x v="2"/>
    <s v="Neha"/>
    <n v="49"/>
    <x v="252"/>
    <n v="15366.14"/>
    <n v="4233.8599999999997"/>
    <x v="161"/>
    <n v="4.5999999999999996"/>
    <n v="0"/>
    <x v="0"/>
    <s v="Regular"/>
    <s v="Completed"/>
    <n v="19.07"/>
    <n v="72.87"/>
    <n v="8586"/>
    <x v="253"/>
    <n v="8056"/>
    <x v="253"/>
    <x v="2"/>
  </r>
  <r>
    <n v="1260"/>
    <s v="Starbucks Mumbai"/>
    <s v="India"/>
    <x v="2"/>
    <s v="Mumbai"/>
    <s v="West"/>
    <x v="52"/>
    <x v="5"/>
    <x v="0"/>
    <x v="0"/>
    <s v="Vivek"/>
    <n v="6"/>
    <x v="253"/>
    <n v="763.97"/>
    <n v="586.03"/>
    <x v="60"/>
    <n v="4.5999999999999996"/>
    <n v="15"/>
    <x v="2"/>
    <s v="Gold"/>
    <s v="Completed"/>
    <n v="19.07"/>
    <n v="72.87"/>
    <n v="13771"/>
    <x v="254"/>
    <n v="12456"/>
    <x v="254"/>
    <x v="1"/>
  </r>
  <r>
    <n v="1261"/>
    <s v="Starbucks Chennai"/>
    <s v="India"/>
    <x v="3"/>
    <s v="Chennai"/>
    <s v="South"/>
    <x v="137"/>
    <x v="2"/>
    <x v="2"/>
    <x v="3"/>
    <s v="Asha"/>
    <n v="21"/>
    <x v="254"/>
    <n v="2732.36"/>
    <n v="2160.64"/>
    <x v="167"/>
    <n v="3.8"/>
    <n v="5"/>
    <x v="0"/>
    <s v="Gold"/>
    <s v="Completed"/>
    <n v="13.08"/>
    <n v="80.27"/>
    <n v="6898"/>
    <x v="255"/>
    <n v="5083"/>
    <x v="255"/>
    <x v="3"/>
  </r>
  <r>
    <n v="1262"/>
    <s v="Starbucks New Delhi"/>
    <s v="India"/>
    <x v="1"/>
    <s v="New Delhi"/>
    <s v="North"/>
    <x v="133"/>
    <x v="1"/>
    <x v="2"/>
    <x v="4"/>
    <s v="Rahul"/>
    <n v="26"/>
    <x v="255"/>
    <n v="3358.66"/>
    <n v="1737.34"/>
    <x v="168"/>
    <n v="4.0999999999999996"/>
    <n v="10"/>
    <x v="2"/>
    <s v="Regular"/>
    <s v="Completed"/>
    <n v="28.61"/>
    <n v="77.2"/>
    <n v="14904"/>
    <x v="256"/>
    <n v="12980"/>
    <x v="256"/>
    <x v="3"/>
  </r>
  <r>
    <n v="1263"/>
    <s v="Starbucks Bengaluru"/>
    <s v="India"/>
    <x v="0"/>
    <s v="Bengaluru"/>
    <s v="South"/>
    <x v="90"/>
    <x v="5"/>
    <x v="1"/>
    <x v="2"/>
    <s v="Asha"/>
    <n v="7"/>
    <x v="256"/>
    <n v="1390.59"/>
    <n v="625.41"/>
    <x v="111"/>
    <n v="3.9"/>
    <n v="5"/>
    <x v="1"/>
    <s v="Premium"/>
    <s v="Cancelled"/>
    <n v="12.97"/>
    <n v="77.59"/>
    <n v="14814"/>
    <x v="257"/>
    <n v="13900"/>
    <x v="257"/>
    <x v="1"/>
  </r>
  <r>
    <n v="1264"/>
    <s v="Starbucks New Delhi"/>
    <s v="India"/>
    <x v="1"/>
    <s v="New Delhi"/>
    <s v="North"/>
    <x v="7"/>
    <x v="4"/>
    <x v="3"/>
    <x v="6"/>
    <s v="Rahul"/>
    <n v="17"/>
    <x v="257"/>
    <n v="3242.73"/>
    <n v="1041.27"/>
    <x v="169"/>
    <n v="4.0999999999999996"/>
    <n v="15"/>
    <x v="1"/>
    <s v="Regular"/>
    <s v="Refunded"/>
    <n v="28.61"/>
    <n v="77.2"/>
    <n v="11315"/>
    <x v="258"/>
    <n v="9413"/>
    <x v="258"/>
    <x v="1"/>
  </r>
  <r>
    <n v="1265"/>
    <s v="Starbucks Mumbai"/>
    <s v="India"/>
    <x v="2"/>
    <s v="Mumbai"/>
    <s v="West"/>
    <x v="138"/>
    <x v="4"/>
    <x v="0"/>
    <x v="1"/>
    <s v="Neha"/>
    <n v="54"/>
    <x v="258"/>
    <n v="7817.7"/>
    <n v="6276.3"/>
    <x v="52"/>
    <n v="4"/>
    <n v="15"/>
    <x v="1"/>
    <s v="Regular"/>
    <s v="Cancelled"/>
    <n v="19.07"/>
    <n v="72.87"/>
    <n v="6458"/>
    <x v="259"/>
    <n v="4800"/>
    <x v="259"/>
    <x v="1"/>
  </r>
  <r>
    <n v="1266"/>
    <s v="Starbucks Mumbai"/>
    <s v="India"/>
    <x v="2"/>
    <s v="Mumbai"/>
    <s v="West"/>
    <x v="116"/>
    <x v="4"/>
    <x v="1"/>
    <x v="2"/>
    <s v="Asha"/>
    <n v="24"/>
    <x v="259"/>
    <n v="4673.2299999999996"/>
    <n v="2286.77"/>
    <x v="170"/>
    <n v="4.0999999999999996"/>
    <n v="0"/>
    <x v="2"/>
    <s v="Premium"/>
    <s v="Refunded"/>
    <n v="19.07"/>
    <n v="72.87"/>
    <n v="6734"/>
    <x v="260"/>
    <n v="5486"/>
    <x v="260"/>
    <x v="3"/>
  </r>
  <r>
    <n v="1267"/>
    <s v="Starbucks Mumbai"/>
    <s v="India"/>
    <x v="2"/>
    <s v="Mumbai"/>
    <s v="West"/>
    <x v="116"/>
    <x v="4"/>
    <x v="0"/>
    <x v="1"/>
    <s v="Anu"/>
    <n v="56"/>
    <x v="260"/>
    <n v="7739.43"/>
    <n v="4244.57"/>
    <x v="156"/>
    <n v="4.9000000000000004"/>
    <n v="15"/>
    <x v="0"/>
    <s v="Regular"/>
    <s v="Cancelled"/>
    <n v="19.07"/>
    <n v="72.87"/>
    <n v="13575"/>
    <x v="261"/>
    <n v="11901"/>
    <x v="261"/>
    <x v="0"/>
  </r>
  <r>
    <n v="1268"/>
    <s v="Starbucks Mumbai"/>
    <s v="India"/>
    <x v="2"/>
    <s v="Mumbai"/>
    <s v="West"/>
    <x v="28"/>
    <x v="2"/>
    <x v="0"/>
    <x v="5"/>
    <s v="Rahul"/>
    <n v="58"/>
    <x v="261"/>
    <n v="16247.03"/>
    <n v="4458.97"/>
    <x v="76"/>
    <n v="4.8"/>
    <n v="0"/>
    <x v="1"/>
    <s v="Regular"/>
    <s v="Completed"/>
    <n v="19.07"/>
    <n v="72.87"/>
    <n v="5058"/>
    <x v="262"/>
    <n v="4302"/>
    <x v="262"/>
    <x v="0"/>
  </r>
  <r>
    <n v="1269"/>
    <s v="Starbucks Mumbai"/>
    <s v="India"/>
    <x v="2"/>
    <s v="Mumbai"/>
    <s v="West"/>
    <x v="12"/>
    <x v="4"/>
    <x v="0"/>
    <x v="5"/>
    <s v="Neha"/>
    <n v="19"/>
    <x v="262"/>
    <n v="3368.37"/>
    <n v="1799.63"/>
    <x v="171"/>
    <n v="4.5999999999999996"/>
    <n v="15"/>
    <x v="2"/>
    <s v="Premium"/>
    <s v="Refunded"/>
    <n v="19.07"/>
    <n v="72.87"/>
    <n v="5601"/>
    <x v="263"/>
    <n v="4957"/>
    <x v="263"/>
    <x v="2"/>
  </r>
  <r>
    <n v="1270"/>
    <s v="Starbucks Chennai"/>
    <s v="India"/>
    <x v="3"/>
    <s v="Chennai"/>
    <s v="South"/>
    <x v="139"/>
    <x v="4"/>
    <x v="1"/>
    <x v="8"/>
    <s v="Asha"/>
    <n v="19"/>
    <x v="263"/>
    <n v="3238.72"/>
    <n v="1340.28"/>
    <x v="149"/>
    <n v="3.6"/>
    <n v="10"/>
    <x v="0"/>
    <s v="Premium"/>
    <s v="Cancelled"/>
    <n v="13.08"/>
    <n v="80.27"/>
    <n v="9851"/>
    <x v="264"/>
    <n v="9124"/>
    <x v="264"/>
    <x v="2"/>
  </r>
  <r>
    <n v="1271"/>
    <s v="Starbucks Mumbai"/>
    <s v="India"/>
    <x v="2"/>
    <s v="Mumbai"/>
    <s v="West"/>
    <x v="140"/>
    <x v="1"/>
    <x v="3"/>
    <x v="7"/>
    <s v="Anu"/>
    <n v="59"/>
    <x v="264"/>
    <n v="16138.97"/>
    <n v="5337.03"/>
    <x v="172"/>
    <n v="5"/>
    <n v="0"/>
    <x v="0"/>
    <s v="Gold"/>
    <s v="Refunded"/>
    <n v="19.07"/>
    <n v="72.87"/>
    <n v="13515"/>
    <x v="265"/>
    <n v="11799"/>
    <x v="265"/>
    <x v="2"/>
  </r>
  <r>
    <n v="1272"/>
    <s v="Starbucks Bengaluru"/>
    <s v="India"/>
    <x v="0"/>
    <s v="Bengaluru"/>
    <s v="South"/>
    <x v="122"/>
    <x v="5"/>
    <x v="1"/>
    <x v="2"/>
    <s v="Rahul"/>
    <n v="8"/>
    <x v="265"/>
    <n v="1266.8599999999999"/>
    <n v="941.14"/>
    <x v="122"/>
    <n v="3.6"/>
    <n v="5"/>
    <x v="0"/>
    <s v="Gold"/>
    <s v="Refunded"/>
    <n v="12.97"/>
    <n v="77.59"/>
    <n v="12180"/>
    <x v="266"/>
    <n v="10349"/>
    <x v="266"/>
    <x v="1"/>
  </r>
  <r>
    <n v="1273"/>
    <s v="Starbucks Bengaluru"/>
    <s v="India"/>
    <x v="0"/>
    <s v="Bengaluru"/>
    <s v="South"/>
    <x v="85"/>
    <x v="3"/>
    <x v="3"/>
    <x v="7"/>
    <s v="Rahul"/>
    <n v="31"/>
    <x v="266"/>
    <n v="4372.71"/>
    <n v="2633.29"/>
    <x v="159"/>
    <n v="4.0999999999999996"/>
    <n v="10"/>
    <x v="1"/>
    <s v="Premium"/>
    <s v="Cancelled"/>
    <n v="12.97"/>
    <n v="77.59"/>
    <n v="7054"/>
    <x v="267"/>
    <n v="6035"/>
    <x v="267"/>
    <x v="3"/>
  </r>
  <r>
    <n v="1274"/>
    <s v="Starbucks Bengaluru"/>
    <s v="India"/>
    <x v="0"/>
    <s v="Bengaluru"/>
    <s v="South"/>
    <x v="22"/>
    <x v="2"/>
    <x v="3"/>
    <x v="6"/>
    <s v="Asha"/>
    <n v="10"/>
    <x v="267"/>
    <n v="2231.62"/>
    <n v="1038.3800000000001"/>
    <x v="4"/>
    <n v="4.4000000000000004"/>
    <n v="10"/>
    <x v="1"/>
    <s v="Gold"/>
    <s v="Refunded"/>
    <n v="12.97"/>
    <n v="77.59"/>
    <n v="5798"/>
    <x v="268"/>
    <n v="5264"/>
    <x v="268"/>
    <x v="2"/>
  </r>
  <r>
    <n v="1275"/>
    <s v="Starbucks Bengaluru"/>
    <s v="India"/>
    <x v="0"/>
    <s v="Bengaluru"/>
    <s v="South"/>
    <x v="93"/>
    <x v="4"/>
    <x v="0"/>
    <x v="1"/>
    <s v="Anu"/>
    <n v="13"/>
    <x v="268"/>
    <n v="3631.31"/>
    <n v="1139.69"/>
    <x v="46"/>
    <n v="4.2"/>
    <n v="0"/>
    <x v="1"/>
    <s v="Regular"/>
    <s v="Completed"/>
    <n v="12.97"/>
    <n v="77.59"/>
    <n v="6980"/>
    <x v="269"/>
    <n v="5050"/>
    <x v="269"/>
    <x v="0"/>
  </r>
  <r>
    <n v="1276"/>
    <s v="Starbucks Bengaluru"/>
    <s v="India"/>
    <x v="0"/>
    <s v="Bengaluru"/>
    <s v="South"/>
    <x v="24"/>
    <x v="4"/>
    <x v="1"/>
    <x v="2"/>
    <s v="Anu"/>
    <n v="50"/>
    <x v="269"/>
    <n v="8165.37"/>
    <n v="4034.63"/>
    <x v="173"/>
    <n v="4.7"/>
    <n v="0"/>
    <x v="1"/>
    <s v="Regular"/>
    <s v="Cancelled"/>
    <n v="12.97"/>
    <n v="77.59"/>
    <n v="12542"/>
    <x v="270"/>
    <n v="10941"/>
    <x v="270"/>
    <x v="3"/>
  </r>
  <r>
    <n v="1277"/>
    <s v="Starbucks Chennai"/>
    <s v="India"/>
    <x v="3"/>
    <s v="Chennai"/>
    <s v="South"/>
    <x v="124"/>
    <x v="3"/>
    <x v="0"/>
    <x v="0"/>
    <s v="Vivek"/>
    <n v="17"/>
    <x v="270"/>
    <n v="4326.87"/>
    <n v="2201.13"/>
    <x v="28"/>
    <n v="4.8"/>
    <n v="5"/>
    <x v="0"/>
    <s v="Gold"/>
    <s v="Refunded"/>
    <n v="13.08"/>
    <n v="80.27"/>
    <n v="8496"/>
    <x v="271"/>
    <n v="6560"/>
    <x v="271"/>
    <x v="0"/>
  </r>
  <r>
    <n v="1278"/>
    <s v="Starbucks New Delhi"/>
    <s v="India"/>
    <x v="1"/>
    <s v="New Delhi"/>
    <s v="North"/>
    <x v="10"/>
    <x v="4"/>
    <x v="1"/>
    <x v="2"/>
    <s v="Anu"/>
    <n v="24"/>
    <x v="271"/>
    <n v="5230.01"/>
    <n v="1489.99"/>
    <x v="57"/>
    <n v="4.5999999999999996"/>
    <n v="15"/>
    <x v="1"/>
    <s v="Premium"/>
    <s v="Completed"/>
    <n v="28.61"/>
    <n v="77.2"/>
    <n v="13881"/>
    <x v="272"/>
    <n v="12220"/>
    <x v="272"/>
    <x v="0"/>
  </r>
  <r>
    <n v="1279"/>
    <s v="Starbucks Kochi"/>
    <s v="India"/>
    <x v="4"/>
    <s v="Kochi"/>
    <s v="South"/>
    <x v="114"/>
    <x v="3"/>
    <x v="3"/>
    <x v="7"/>
    <s v="Neha"/>
    <n v="31"/>
    <x v="272"/>
    <n v="5417.62"/>
    <n v="3975.38"/>
    <x v="174"/>
    <n v="3.9"/>
    <n v="0"/>
    <x v="0"/>
    <s v="Gold"/>
    <s v="Refunded"/>
    <n v="9.93"/>
    <n v="76.260000000000005"/>
    <n v="11405"/>
    <x v="273"/>
    <n v="10602"/>
    <x v="273"/>
    <x v="1"/>
  </r>
  <r>
    <n v="1280"/>
    <s v="Starbucks Chennai"/>
    <s v="India"/>
    <x v="3"/>
    <s v="Chennai"/>
    <s v="South"/>
    <x v="141"/>
    <x v="2"/>
    <x v="1"/>
    <x v="8"/>
    <s v="Rahul"/>
    <n v="45"/>
    <x v="273"/>
    <n v="6085.13"/>
    <n v="2329.87"/>
    <x v="175"/>
    <n v="4.5999999999999996"/>
    <n v="15"/>
    <x v="1"/>
    <s v="Gold"/>
    <s v="Refunded"/>
    <n v="13.08"/>
    <n v="80.27"/>
    <n v="10533"/>
    <x v="274"/>
    <n v="9238"/>
    <x v="274"/>
    <x v="2"/>
  </r>
  <r>
    <n v="1281"/>
    <s v="Starbucks New Delhi"/>
    <s v="India"/>
    <x v="1"/>
    <s v="New Delhi"/>
    <s v="North"/>
    <x v="142"/>
    <x v="5"/>
    <x v="2"/>
    <x v="4"/>
    <s v="Neha"/>
    <n v="9"/>
    <x v="274"/>
    <n v="2697.2"/>
    <n v="767.8"/>
    <x v="102"/>
    <n v="4.8"/>
    <n v="0"/>
    <x v="0"/>
    <s v="Gold"/>
    <s v="Completed"/>
    <n v="28.61"/>
    <n v="77.2"/>
    <n v="9947"/>
    <x v="275"/>
    <n v="8634"/>
    <x v="275"/>
    <x v="2"/>
  </r>
  <r>
    <n v="1282"/>
    <s v="Starbucks Bengaluru"/>
    <s v="India"/>
    <x v="0"/>
    <s v="Bengaluru"/>
    <s v="South"/>
    <x v="45"/>
    <x v="3"/>
    <x v="3"/>
    <x v="6"/>
    <s v="Anu"/>
    <n v="15"/>
    <x v="275"/>
    <n v="4232.99"/>
    <n v="1197.01"/>
    <x v="176"/>
    <n v="4.2"/>
    <n v="0"/>
    <x v="1"/>
    <s v="Premium"/>
    <s v="Completed"/>
    <n v="12.97"/>
    <n v="77.59"/>
    <n v="7298"/>
    <x v="276"/>
    <n v="5537"/>
    <x v="276"/>
    <x v="0"/>
  </r>
  <r>
    <n v="1283"/>
    <s v="Starbucks New Delhi"/>
    <s v="India"/>
    <x v="1"/>
    <s v="New Delhi"/>
    <s v="North"/>
    <x v="118"/>
    <x v="0"/>
    <x v="2"/>
    <x v="4"/>
    <s v="Vivek"/>
    <n v="50"/>
    <x v="276"/>
    <n v="8648.92"/>
    <n v="2601.08"/>
    <x v="51"/>
    <n v="4.0999999999999996"/>
    <n v="10"/>
    <x v="0"/>
    <s v="Premium"/>
    <s v="Refunded"/>
    <n v="28.61"/>
    <n v="77.2"/>
    <n v="9554"/>
    <x v="277"/>
    <n v="7597"/>
    <x v="277"/>
    <x v="0"/>
  </r>
  <r>
    <n v="1284"/>
    <s v="Starbucks Kochi"/>
    <s v="India"/>
    <x v="4"/>
    <s v="Kochi"/>
    <s v="South"/>
    <x v="67"/>
    <x v="0"/>
    <x v="1"/>
    <x v="8"/>
    <s v="Neha"/>
    <n v="32"/>
    <x v="277"/>
    <n v="9686.5400000000009"/>
    <n v="2921.46"/>
    <x v="89"/>
    <n v="4.4000000000000004"/>
    <n v="15"/>
    <x v="0"/>
    <s v="Gold"/>
    <s v="Completed"/>
    <n v="9.93"/>
    <n v="76.260000000000005"/>
    <n v="9158"/>
    <x v="278"/>
    <n v="8110"/>
    <x v="278"/>
    <x v="1"/>
  </r>
  <r>
    <n v="1285"/>
    <s v="Starbucks Chennai"/>
    <s v="India"/>
    <x v="3"/>
    <s v="Chennai"/>
    <s v="South"/>
    <x v="6"/>
    <x v="3"/>
    <x v="3"/>
    <x v="6"/>
    <s v="Vivek"/>
    <n v="15"/>
    <x v="278"/>
    <n v="4131.1499999999996"/>
    <n v="1658.85"/>
    <x v="44"/>
    <n v="4.0999999999999996"/>
    <n v="15"/>
    <x v="0"/>
    <s v="Regular"/>
    <s v="Completed"/>
    <n v="13.08"/>
    <n v="80.27"/>
    <n v="8484"/>
    <x v="279"/>
    <n v="7900"/>
    <x v="279"/>
    <x v="3"/>
  </r>
  <r>
    <n v="1286"/>
    <s v="Starbucks Kochi"/>
    <s v="India"/>
    <x v="4"/>
    <s v="Kochi"/>
    <s v="South"/>
    <x v="132"/>
    <x v="0"/>
    <x v="2"/>
    <x v="3"/>
    <s v="Anu"/>
    <n v="5"/>
    <x v="279"/>
    <n v="1367.77"/>
    <n v="637.23"/>
    <x v="177"/>
    <n v="4.4000000000000004"/>
    <n v="10"/>
    <x v="2"/>
    <s v="Premium"/>
    <s v="Cancelled"/>
    <n v="9.93"/>
    <n v="76.260000000000005"/>
    <n v="12117"/>
    <x v="280"/>
    <n v="11392"/>
    <x v="280"/>
    <x v="1"/>
  </r>
  <r>
    <n v="1287"/>
    <s v="Starbucks Bengaluru"/>
    <s v="India"/>
    <x v="0"/>
    <s v="Bengaluru"/>
    <s v="South"/>
    <x v="124"/>
    <x v="3"/>
    <x v="3"/>
    <x v="6"/>
    <s v="Anu"/>
    <n v="10"/>
    <x v="280"/>
    <n v="1918.01"/>
    <n v="851.99"/>
    <x v="169"/>
    <n v="4.0999999999999996"/>
    <n v="0"/>
    <x v="0"/>
    <s v="Premium"/>
    <s v="Cancelled"/>
    <n v="12.97"/>
    <n v="77.59"/>
    <n v="9989"/>
    <x v="281"/>
    <n v="8165"/>
    <x v="281"/>
    <x v="2"/>
  </r>
  <r>
    <n v="1288"/>
    <s v="Starbucks Bengaluru"/>
    <s v="India"/>
    <x v="0"/>
    <s v="Bengaluru"/>
    <s v="South"/>
    <x v="70"/>
    <x v="3"/>
    <x v="2"/>
    <x v="3"/>
    <s v="Anu"/>
    <n v="53"/>
    <x v="281"/>
    <n v="9375.59"/>
    <n v="5517.41"/>
    <x v="14"/>
    <n v="4.5"/>
    <n v="0"/>
    <x v="0"/>
    <s v="Premium"/>
    <s v="Refunded"/>
    <n v="12.97"/>
    <n v="77.59"/>
    <n v="8682"/>
    <x v="282"/>
    <n v="7481"/>
    <x v="282"/>
    <x v="1"/>
  </r>
  <r>
    <n v="1289"/>
    <s v="Starbucks Bengaluru"/>
    <s v="India"/>
    <x v="0"/>
    <s v="Bengaluru"/>
    <s v="South"/>
    <x v="46"/>
    <x v="1"/>
    <x v="2"/>
    <x v="3"/>
    <s v="Anu"/>
    <n v="19"/>
    <x v="282"/>
    <n v="5231.3999999999996"/>
    <n v="1760.6"/>
    <x v="12"/>
    <n v="4.2"/>
    <n v="5"/>
    <x v="2"/>
    <s v="Gold"/>
    <s v="Refunded"/>
    <n v="12.97"/>
    <n v="77.59"/>
    <n v="5410"/>
    <x v="283"/>
    <n v="4900"/>
    <x v="283"/>
    <x v="1"/>
  </r>
  <r>
    <n v="1290"/>
    <s v="Starbucks Bengaluru"/>
    <s v="India"/>
    <x v="0"/>
    <s v="Bengaluru"/>
    <s v="South"/>
    <x v="71"/>
    <x v="2"/>
    <x v="3"/>
    <x v="6"/>
    <s v="Vivek"/>
    <n v="31"/>
    <x v="283"/>
    <n v="8773.5"/>
    <n v="3533.5"/>
    <x v="172"/>
    <n v="5"/>
    <n v="0"/>
    <x v="0"/>
    <s v="Premium"/>
    <s v="Refunded"/>
    <n v="12.97"/>
    <n v="77.59"/>
    <n v="7894"/>
    <x v="284"/>
    <n v="6053"/>
    <x v="284"/>
    <x v="0"/>
  </r>
  <r>
    <n v="1291"/>
    <s v="Starbucks Kochi"/>
    <s v="India"/>
    <x v="4"/>
    <s v="Kochi"/>
    <s v="South"/>
    <x v="0"/>
    <x v="0"/>
    <x v="2"/>
    <x v="3"/>
    <s v="Anu"/>
    <n v="38"/>
    <x v="284"/>
    <n v="6440.96"/>
    <n v="4769.04"/>
    <x v="130"/>
    <n v="3.6"/>
    <n v="0"/>
    <x v="2"/>
    <s v="Gold"/>
    <s v="Completed"/>
    <n v="9.93"/>
    <n v="76.260000000000005"/>
    <n v="11814"/>
    <x v="285"/>
    <n v="10479"/>
    <x v="285"/>
    <x v="3"/>
  </r>
  <r>
    <n v="1292"/>
    <s v="Starbucks New Delhi"/>
    <s v="India"/>
    <x v="1"/>
    <s v="New Delhi"/>
    <s v="North"/>
    <x v="9"/>
    <x v="3"/>
    <x v="0"/>
    <x v="1"/>
    <s v="Asha"/>
    <n v="39"/>
    <x v="285"/>
    <n v="5006.3599999999997"/>
    <n v="3534.64"/>
    <x v="87"/>
    <n v="4.4000000000000004"/>
    <n v="10"/>
    <x v="1"/>
    <s v="Premium"/>
    <s v="Cancelled"/>
    <n v="28.61"/>
    <n v="77.2"/>
    <n v="10148"/>
    <x v="286"/>
    <n v="8982"/>
    <x v="286"/>
    <x v="0"/>
  </r>
  <r>
    <n v="1293"/>
    <s v="Starbucks Chennai"/>
    <s v="India"/>
    <x v="3"/>
    <s v="Chennai"/>
    <s v="South"/>
    <x v="14"/>
    <x v="5"/>
    <x v="1"/>
    <x v="2"/>
    <s v="Neha"/>
    <n v="38"/>
    <x v="286"/>
    <n v="10033"/>
    <n v="4445"/>
    <x v="145"/>
    <n v="3.8"/>
    <n v="15"/>
    <x v="2"/>
    <s v="Regular"/>
    <s v="Cancelled"/>
    <n v="13.08"/>
    <n v="80.27"/>
    <n v="12350"/>
    <x v="287"/>
    <n v="10975"/>
    <x v="287"/>
    <x v="2"/>
  </r>
  <r>
    <n v="1294"/>
    <s v="Starbucks Kochi"/>
    <s v="India"/>
    <x v="4"/>
    <s v="Kochi"/>
    <s v="South"/>
    <x v="55"/>
    <x v="5"/>
    <x v="2"/>
    <x v="3"/>
    <s v="Rahul"/>
    <n v="59"/>
    <x v="287"/>
    <n v="7471.72"/>
    <n v="4269.28"/>
    <x v="178"/>
    <n v="4"/>
    <n v="0"/>
    <x v="2"/>
    <s v="Premium"/>
    <s v="Cancelled"/>
    <n v="9.93"/>
    <n v="76.260000000000005"/>
    <n v="9057"/>
    <x v="288"/>
    <n v="7058"/>
    <x v="288"/>
    <x v="3"/>
  </r>
  <r>
    <n v="1295"/>
    <s v="Starbucks Chennai"/>
    <s v="India"/>
    <x v="3"/>
    <s v="Chennai"/>
    <s v="South"/>
    <x v="143"/>
    <x v="4"/>
    <x v="2"/>
    <x v="3"/>
    <s v="Rahul"/>
    <n v="57"/>
    <x v="288"/>
    <n v="13798.94"/>
    <n v="9628.06"/>
    <x v="179"/>
    <n v="4.5999999999999996"/>
    <n v="10"/>
    <x v="1"/>
    <s v="Premium"/>
    <s v="Cancelled"/>
    <n v="13.08"/>
    <n v="80.27"/>
    <n v="12365"/>
    <x v="289"/>
    <n v="10732"/>
    <x v="289"/>
    <x v="1"/>
  </r>
  <r>
    <n v="1296"/>
    <s v="Starbucks Kochi"/>
    <s v="India"/>
    <x v="4"/>
    <s v="Kochi"/>
    <s v="South"/>
    <x v="104"/>
    <x v="2"/>
    <x v="0"/>
    <x v="5"/>
    <s v="Asha"/>
    <n v="7"/>
    <x v="289"/>
    <n v="1278.52"/>
    <n v="415.48"/>
    <x v="180"/>
    <n v="4.5999999999999996"/>
    <n v="10"/>
    <x v="1"/>
    <s v="Premium"/>
    <s v="Cancelled"/>
    <n v="9.93"/>
    <n v="76.260000000000005"/>
    <n v="5436"/>
    <x v="290"/>
    <n v="3539"/>
    <x v="290"/>
    <x v="1"/>
  </r>
  <r>
    <n v="1297"/>
    <s v="Starbucks Mumbai"/>
    <s v="India"/>
    <x v="2"/>
    <s v="Mumbai"/>
    <s v="West"/>
    <x v="51"/>
    <x v="2"/>
    <x v="1"/>
    <x v="8"/>
    <s v="Asha"/>
    <n v="22"/>
    <x v="290"/>
    <n v="2414.91"/>
    <n v="1765.09"/>
    <x v="181"/>
    <n v="4.7"/>
    <n v="5"/>
    <x v="2"/>
    <s v="Premium"/>
    <s v="Completed"/>
    <n v="19.07"/>
    <n v="72.87"/>
    <n v="10840"/>
    <x v="291"/>
    <n v="9005"/>
    <x v="291"/>
    <x v="2"/>
  </r>
  <r>
    <n v="1298"/>
    <s v="Starbucks New Delhi"/>
    <s v="India"/>
    <x v="1"/>
    <s v="New Delhi"/>
    <s v="North"/>
    <x v="107"/>
    <x v="1"/>
    <x v="0"/>
    <x v="1"/>
    <s v="Rahul"/>
    <n v="59"/>
    <x v="291"/>
    <n v="15157.59"/>
    <n v="7498.41"/>
    <x v="182"/>
    <n v="3.8"/>
    <n v="10"/>
    <x v="0"/>
    <s v="Gold"/>
    <s v="Completed"/>
    <n v="28.61"/>
    <n v="77.2"/>
    <n v="6438"/>
    <x v="292"/>
    <n v="5017"/>
    <x v="292"/>
    <x v="1"/>
  </r>
  <r>
    <n v="1299"/>
    <s v="Starbucks Mumbai"/>
    <s v="India"/>
    <x v="2"/>
    <s v="Mumbai"/>
    <s v="West"/>
    <x v="40"/>
    <x v="3"/>
    <x v="1"/>
    <x v="8"/>
    <s v="Neha"/>
    <n v="43"/>
    <x v="292"/>
    <n v="8162.81"/>
    <n v="4479.1899999999996"/>
    <x v="137"/>
    <n v="4.4000000000000004"/>
    <n v="15"/>
    <x v="2"/>
    <s v="Regular"/>
    <s v="Refunded"/>
    <n v="19.07"/>
    <n v="72.87"/>
    <n v="8707"/>
    <x v="293"/>
    <n v="7077"/>
    <x v="293"/>
    <x v="2"/>
  </r>
  <r>
    <n v="1300"/>
    <s v="Starbucks New Delhi"/>
    <s v="India"/>
    <x v="1"/>
    <s v="New Delhi"/>
    <s v="North"/>
    <x v="114"/>
    <x v="3"/>
    <x v="0"/>
    <x v="5"/>
    <s v="Anu"/>
    <n v="5"/>
    <x v="293"/>
    <n v="904.43"/>
    <n v="455.57"/>
    <x v="171"/>
    <n v="4"/>
    <n v="10"/>
    <x v="2"/>
    <s v="Regular"/>
    <s v="Refunded"/>
    <n v="28.61"/>
    <n v="77.2"/>
    <n v="11115"/>
    <x v="294"/>
    <n v="9879"/>
    <x v="294"/>
    <x v="1"/>
  </r>
  <r>
    <n v="1301"/>
    <s v="Starbucks Kochi"/>
    <s v="India"/>
    <x v="4"/>
    <s v="Kochi"/>
    <s v="South"/>
    <x v="76"/>
    <x v="2"/>
    <x v="1"/>
    <x v="2"/>
    <s v="Rahul"/>
    <n v="36"/>
    <x v="294"/>
    <n v="6835.11"/>
    <n v="4900.8900000000003"/>
    <x v="35"/>
    <n v="3.8"/>
    <n v="15"/>
    <x v="1"/>
    <s v="Regular"/>
    <s v="Refunded"/>
    <n v="9.93"/>
    <n v="76.260000000000005"/>
    <n v="14872"/>
    <x v="295"/>
    <n v="13689"/>
    <x v="295"/>
    <x v="0"/>
  </r>
  <r>
    <n v="1302"/>
    <s v="Starbucks Kochi"/>
    <s v="India"/>
    <x v="4"/>
    <s v="Kochi"/>
    <s v="South"/>
    <x v="18"/>
    <x v="1"/>
    <x v="1"/>
    <x v="2"/>
    <s v="Vivek"/>
    <n v="38"/>
    <x v="295"/>
    <n v="7873.97"/>
    <n v="2538.0300000000002"/>
    <x v="147"/>
    <n v="4.8"/>
    <n v="10"/>
    <x v="2"/>
    <s v="Premium"/>
    <s v="Cancelled"/>
    <n v="9.93"/>
    <n v="76.260000000000005"/>
    <n v="8193"/>
    <x v="296"/>
    <n v="6608"/>
    <x v="296"/>
    <x v="0"/>
  </r>
  <r>
    <n v="1303"/>
    <s v="Starbucks New Delhi"/>
    <s v="India"/>
    <x v="1"/>
    <s v="New Delhi"/>
    <s v="North"/>
    <x v="106"/>
    <x v="1"/>
    <x v="3"/>
    <x v="6"/>
    <s v="Asha"/>
    <n v="6"/>
    <x v="296"/>
    <n v="1472.21"/>
    <n v="831.79"/>
    <x v="85"/>
    <n v="4.4000000000000004"/>
    <n v="10"/>
    <x v="0"/>
    <s v="Premium"/>
    <s v="Cancelled"/>
    <n v="28.61"/>
    <n v="77.2"/>
    <n v="9118"/>
    <x v="297"/>
    <n v="8346"/>
    <x v="297"/>
    <x v="1"/>
  </r>
  <r>
    <n v="1304"/>
    <s v="Starbucks Bengaluru"/>
    <s v="India"/>
    <x v="0"/>
    <s v="Bengaluru"/>
    <s v="South"/>
    <x v="84"/>
    <x v="5"/>
    <x v="2"/>
    <x v="4"/>
    <s v="Rahul"/>
    <n v="16"/>
    <x v="297"/>
    <n v="4962.8"/>
    <n v="1629.2"/>
    <x v="183"/>
    <n v="4.3"/>
    <n v="5"/>
    <x v="2"/>
    <s v="Premium"/>
    <s v="Refunded"/>
    <n v="12.97"/>
    <n v="77.59"/>
    <n v="11083"/>
    <x v="298"/>
    <n v="9656"/>
    <x v="298"/>
    <x v="1"/>
  </r>
  <r>
    <n v="1305"/>
    <s v="Starbucks Bengaluru"/>
    <s v="India"/>
    <x v="0"/>
    <s v="Bengaluru"/>
    <s v="South"/>
    <x v="128"/>
    <x v="1"/>
    <x v="1"/>
    <x v="2"/>
    <s v="Neha"/>
    <n v="20"/>
    <x v="298"/>
    <n v="4067.01"/>
    <n v="2692.99"/>
    <x v="82"/>
    <n v="4.4000000000000004"/>
    <n v="0"/>
    <x v="2"/>
    <s v="Premium"/>
    <s v="Completed"/>
    <n v="12.97"/>
    <n v="77.59"/>
    <n v="6180"/>
    <x v="299"/>
    <n v="5475"/>
    <x v="299"/>
    <x v="3"/>
  </r>
  <r>
    <n v="1306"/>
    <s v="Starbucks Kochi"/>
    <s v="India"/>
    <x v="4"/>
    <s v="Kochi"/>
    <s v="South"/>
    <x v="4"/>
    <x v="0"/>
    <x v="3"/>
    <x v="7"/>
    <s v="Vivek"/>
    <n v="39"/>
    <x v="299"/>
    <n v="11314.02"/>
    <n v="3817.98"/>
    <x v="43"/>
    <n v="4.3"/>
    <n v="5"/>
    <x v="0"/>
    <s v="Gold"/>
    <s v="Completed"/>
    <n v="9.93"/>
    <n v="76.260000000000005"/>
    <n v="11773"/>
    <x v="300"/>
    <n v="10630"/>
    <x v="300"/>
    <x v="3"/>
  </r>
  <r>
    <n v="1307"/>
    <s v="Starbucks Bengaluru"/>
    <s v="India"/>
    <x v="0"/>
    <s v="Bengaluru"/>
    <s v="South"/>
    <x v="70"/>
    <x v="3"/>
    <x v="3"/>
    <x v="7"/>
    <s v="Vivek"/>
    <n v="51"/>
    <x v="300"/>
    <n v="12669.32"/>
    <n v="5486.68"/>
    <x v="184"/>
    <n v="3.6"/>
    <n v="0"/>
    <x v="2"/>
    <s v="Gold"/>
    <s v="Completed"/>
    <n v="12.97"/>
    <n v="77.59"/>
    <n v="13473"/>
    <x v="301"/>
    <n v="12020"/>
    <x v="301"/>
    <x v="3"/>
  </r>
  <r>
    <n v="1308"/>
    <s v="Starbucks New Delhi"/>
    <s v="India"/>
    <x v="1"/>
    <s v="New Delhi"/>
    <s v="North"/>
    <x v="90"/>
    <x v="5"/>
    <x v="1"/>
    <x v="2"/>
    <s v="Rahul"/>
    <n v="26"/>
    <x v="301"/>
    <n v="5730.8"/>
    <n v="4123.2"/>
    <x v="185"/>
    <n v="3.7"/>
    <n v="5"/>
    <x v="1"/>
    <s v="Gold"/>
    <s v="Completed"/>
    <n v="28.61"/>
    <n v="77.2"/>
    <n v="5926"/>
    <x v="302"/>
    <n v="4637"/>
    <x v="302"/>
    <x v="3"/>
  </r>
  <r>
    <n v="1309"/>
    <s v="Starbucks Kochi"/>
    <s v="India"/>
    <x v="4"/>
    <s v="Kochi"/>
    <s v="South"/>
    <x v="144"/>
    <x v="5"/>
    <x v="1"/>
    <x v="2"/>
    <s v="Neha"/>
    <n v="46"/>
    <x v="302"/>
    <n v="8516.59"/>
    <n v="4271.41"/>
    <x v="186"/>
    <n v="4.0999999999999996"/>
    <n v="5"/>
    <x v="2"/>
    <s v="Gold"/>
    <s v="Cancelled"/>
    <n v="9.93"/>
    <n v="76.260000000000005"/>
    <n v="11989"/>
    <x v="303"/>
    <n v="10975"/>
    <x v="303"/>
    <x v="0"/>
  </r>
  <r>
    <n v="1310"/>
    <s v="Starbucks Bengaluru"/>
    <s v="India"/>
    <x v="0"/>
    <s v="Bengaluru"/>
    <s v="South"/>
    <x v="8"/>
    <x v="5"/>
    <x v="1"/>
    <x v="8"/>
    <s v="Rahul"/>
    <n v="34"/>
    <x v="303"/>
    <n v="7126.06"/>
    <n v="3311.94"/>
    <x v="36"/>
    <n v="3.7"/>
    <n v="15"/>
    <x v="1"/>
    <s v="Premium"/>
    <s v="Cancelled"/>
    <n v="12.97"/>
    <n v="77.59"/>
    <n v="8056"/>
    <x v="304"/>
    <n v="7352"/>
    <x v="304"/>
    <x v="2"/>
  </r>
  <r>
    <n v="1311"/>
    <s v="Starbucks Mumbai"/>
    <s v="India"/>
    <x v="2"/>
    <s v="Mumbai"/>
    <s v="West"/>
    <x v="63"/>
    <x v="4"/>
    <x v="2"/>
    <x v="3"/>
    <s v="Vivek"/>
    <n v="19"/>
    <x v="304"/>
    <n v="2554.77"/>
    <n v="1112.23"/>
    <x v="187"/>
    <n v="4"/>
    <n v="0"/>
    <x v="0"/>
    <s v="Gold"/>
    <s v="Cancelled"/>
    <n v="19.07"/>
    <n v="72.87"/>
    <n v="10685"/>
    <x v="305"/>
    <n v="8872"/>
    <x v="305"/>
    <x v="3"/>
  </r>
  <r>
    <n v="1312"/>
    <s v="Starbucks Bengaluru"/>
    <s v="India"/>
    <x v="0"/>
    <s v="Bengaluru"/>
    <s v="South"/>
    <x v="136"/>
    <x v="1"/>
    <x v="1"/>
    <x v="8"/>
    <s v="Vivek"/>
    <n v="19"/>
    <x v="305"/>
    <n v="3728.11"/>
    <n v="2104.89"/>
    <x v="188"/>
    <n v="3.9"/>
    <n v="15"/>
    <x v="1"/>
    <s v="Premium"/>
    <s v="Refunded"/>
    <n v="12.97"/>
    <n v="77.59"/>
    <n v="8300"/>
    <x v="306"/>
    <n v="7520"/>
    <x v="306"/>
    <x v="0"/>
  </r>
  <r>
    <n v="1313"/>
    <s v="Starbucks New Delhi"/>
    <s v="India"/>
    <x v="1"/>
    <s v="New Delhi"/>
    <s v="North"/>
    <x v="126"/>
    <x v="4"/>
    <x v="2"/>
    <x v="4"/>
    <s v="Asha"/>
    <n v="46"/>
    <x v="306"/>
    <n v="9618.06"/>
    <n v="3629.94"/>
    <x v="51"/>
    <n v="4.3"/>
    <n v="15"/>
    <x v="0"/>
    <s v="Regular"/>
    <s v="Refunded"/>
    <n v="28.61"/>
    <n v="77.2"/>
    <n v="11912"/>
    <x v="307"/>
    <n v="11256"/>
    <x v="307"/>
    <x v="2"/>
  </r>
  <r>
    <n v="1314"/>
    <s v="Starbucks Bengaluru"/>
    <s v="India"/>
    <x v="0"/>
    <s v="Bengaluru"/>
    <s v="South"/>
    <x v="96"/>
    <x v="1"/>
    <x v="0"/>
    <x v="1"/>
    <s v="Rahul"/>
    <n v="60"/>
    <x v="307"/>
    <n v="12207.21"/>
    <n v="3572.79"/>
    <x v="189"/>
    <n v="4.7"/>
    <n v="5"/>
    <x v="0"/>
    <s v="Premium"/>
    <s v="Cancelled"/>
    <n v="12.97"/>
    <n v="77.59"/>
    <n v="7831"/>
    <x v="308"/>
    <n v="6574"/>
    <x v="308"/>
    <x v="2"/>
  </r>
  <r>
    <n v="1315"/>
    <s v="Starbucks Kochi"/>
    <s v="India"/>
    <x v="4"/>
    <s v="Kochi"/>
    <s v="South"/>
    <x v="145"/>
    <x v="1"/>
    <x v="3"/>
    <x v="7"/>
    <s v="Anu"/>
    <n v="30"/>
    <x v="308"/>
    <n v="8840.0300000000007"/>
    <n v="2619.9699999999998"/>
    <x v="136"/>
    <n v="3.7"/>
    <n v="15"/>
    <x v="1"/>
    <s v="Gold"/>
    <s v="Completed"/>
    <n v="9.93"/>
    <n v="76.260000000000005"/>
    <n v="10836"/>
    <x v="309"/>
    <n v="9017"/>
    <x v="309"/>
    <x v="0"/>
  </r>
  <r>
    <n v="1316"/>
    <s v="Starbucks Bengaluru"/>
    <s v="India"/>
    <x v="0"/>
    <s v="Bengaluru"/>
    <s v="South"/>
    <x v="120"/>
    <x v="5"/>
    <x v="0"/>
    <x v="1"/>
    <s v="Neha"/>
    <n v="49"/>
    <x v="309"/>
    <n v="13432.07"/>
    <n v="4158.93"/>
    <x v="182"/>
    <n v="4"/>
    <n v="15"/>
    <x v="2"/>
    <s v="Regular"/>
    <s v="Refunded"/>
    <n v="12.97"/>
    <n v="77.59"/>
    <n v="13580"/>
    <x v="310"/>
    <n v="12052"/>
    <x v="310"/>
    <x v="1"/>
  </r>
  <r>
    <n v="1317"/>
    <s v="Starbucks Mumbai"/>
    <s v="India"/>
    <x v="2"/>
    <s v="Mumbai"/>
    <s v="West"/>
    <x v="146"/>
    <x v="5"/>
    <x v="0"/>
    <x v="1"/>
    <s v="Vivek"/>
    <n v="24"/>
    <x v="310"/>
    <n v="5677.12"/>
    <n v="2122.88"/>
    <x v="84"/>
    <n v="4.0999999999999996"/>
    <n v="10"/>
    <x v="1"/>
    <s v="Premium"/>
    <s v="Refunded"/>
    <n v="19.07"/>
    <n v="72.87"/>
    <n v="12549"/>
    <x v="311"/>
    <n v="11776"/>
    <x v="83"/>
    <x v="3"/>
  </r>
  <r>
    <n v="1318"/>
    <s v="Starbucks New Delhi"/>
    <s v="India"/>
    <x v="1"/>
    <s v="New Delhi"/>
    <s v="North"/>
    <x v="57"/>
    <x v="2"/>
    <x v="3"/>
    <x v="7"/>
    <s v="Vivek"/>
    <n v="25"/>
    <x v="311"/>
    <n v="5306.71"/>
    <n v="2443.29"/>
    <x v="188"/>
    <n v="5"/>
    <n v="0"/>
    <x v="0"/>
    <s v="Regular"/>
    <s v="Cancelled"/>
    <n v="28.61"/>
    <n v="77.2"/>
    <n v="12994"/>
    <x v="312"/>
    <n v="12226"/>
    <x v="311"/>
    <x v="1"/>
  </r>
  <r>
    <n v="1319"/>
    <s v="Starbucks Mumbai"/>
    <s v="India"/>
    <x v="2"/>
    <s v="Mumbai"/>
    <s v="West"/>
    <x v="107"/>
    <x v="1"/>
    <x v="0"/>
    <x v="5"/>
    <s v="Neha"/>
    <n v="45"/>
    <x v="6"/>
    <n v="10244.06"/>
    <n v="6315.94"/>
    <x v="39"/>
    <n v="4.8"/>
    <n v="10"/>
    <x v="1"/>
    <s v="Regular"/>
    <s v="Cancelled"/>
    <n v="19.07"/>
    <n v="72.87"/>
    <n v="7361"/>
    <x v="313"/>
    <n v="6753"/>
    <x v="312"/>
    <x v="0"/>
  </r>
  <r>
    <n v="1320"/>
    <s v="Starbucks Kochi"/>
    <s v="India"/>
    <x v="4"/>
    <s v="Kochi"/>
    <s v="South"/>
    <x v="80"/>
    <x v="0"/>
    <x v="3"/>
    <x v="7"/>
    <s v="Rahul"/>
    <n v="14"/>
    <x v="312"/>
    <n v="3662.7"/>
    <n v="2077.3000000000002"/>
    <x v="74"/>
    <n v="4"/>
    <n v="5"/>
    <x v="1"/>
    <s v="Gold"/>
    <s v="Cancelled"/>
    <n v="9.93"/>
    <n v="76.260000000000005"/>
    <n v="7414"/>
    <x v="314"/>
    <n v="6518"/>
    <x v="313"/>
    <x v="0"/>
  </r>
  <r>
    <n v="1321"/>
    <s v="Starbucks Bengaluru"/>
    <s v="India"/>
    <x v="0"/>
    <s v="Bengaluru"/>
    <s v="South"/>
    <x v="147"/>
    <x v="2"/>
    <x v="1"/>
    <x v="8"/>
    <s v="Anu"/>
    <n v="49"/>
    <x v="313"/>
    <n v="6761.03"/>
    <n v="2303.9699999999998"/>
    <x v="31"/>
    <n v="4.7"/>
    <n v="15"/>
    <x v="1"/>
    <s v="Premium"/>
    <s v="Cancelled"/>
    <n v="12.97"/>
    <n v="77.59"/>
    <n v="10322"/>
    <x v="315"/>
    <n v="9330"/>
    <x v="314"/>
    <x v="0"/>
  </r>
  <r>
    <n v="1322"/>
    <s v="Starbucks Chennai"/>
    <s v="India"/>
    <x v="3"/>
    <s v="Chennai"/>
    <s v="South"/>
    <x v="109"/>
    <x v="1"/>
    <x v="3"/>
    <x v="6"/>
    <s v="Neha"/>
    <n v="53"/>
    <x v="314"/>
    <n v="9957.9699999999993"/>
    <n v="7161.03"/>
    <x v="85"/>
    <n v="4.5"/>
    <n v="0"/>
    <x v="0"/>
    <s v="Gold"/>
    <s v="Cancelled"/>
    <n v="13.08"/>
    <n v="80.27"/>
    <n v="9973"/>
    <x v="316"/>
    <n v="8134"/>
    <x v="315"/>
    <x v="1"/>
  </r>
  <r>
    <n v="1323"/>
    <s v="Starbucks Bengaluru"/>
    <s v="India"/>
    <x v="0"/>
    <s v="Bengaluru"/>
    <s v="South"/>
    <x v="9"/>
    <x v="3"/>
    <x v="3"/>
    <x v="6"/>
    <s v="Asha"/>
    <n v="52"/>
    <x v="315"/>
    <n v="10708.31"/>
    <n v="3643.69"/>
    <x v="10"/>
    <n v="4.3"/>
    <n v="5"/>
    <x v="1"/>
    <s v="Regular"/>
    <s v="Completed"/>
    <n v="12.97"/>
    <n v="77.59"/>
    <n v="12019"/>
    <x v="317"/>
    <n v="11198"/>
    <x v="316"/>
    <x v="3"/>
  </r>
  <r>
    <n v="1324"/>
    <s v="Starbucks Kochi"/>
    <s v="India"/>
    <x v="4"/>
    <s v="Kochi"/>
    <s v="South"/>
    <x v="101"/>
    <x v="3"/>
    <x v="0"/>
    <x v="5"/>
    <s v="Neha"/>
    <n v="52"/>
    <x v="316"/>
    <n v="6811.19"/>
    <n v="3484.81"/>
    <x v="25"/>
    <n v="4.8"/>
    <n v="5"/>
    <x v="0"/>
    <s v="Premium"/>
    <s v="Cancelled"/>
    <n v="9.93"/>
    <n v="76.260000000000005"/>
    <n v="13852"/>
    <x v="318"/>
    <n v="12873"/>
    <x v="317"/>
    <x v="3"/>
  </r>
  <r>
    <n v="1325"/>
    <s v="Starbucks Kochi"/>
    <s v="India"/>
    <x v="4"/>
    <s v="Kochi"/>
    <s v="South"/>
    <x v="116"/>
    <x v="4"/>
    <x v="3"/>
    <x v="7"/>
    <s v="Asha"/>
    <n v="51"/>
    <x v="317"/>
    <n v="7314.66"/>
    <n v="3548.34"/>
    <x v="126"/>
    <n v="3.5"/>
    <n v="5"/>
    <x v="0"/>
    <s v="Premium"/>
    <s v="Completed"/>
    <n v="9.93"/>
    <n v="76.260000000000005"/>
    <n v="10221"/>
    <x v="319"/>
    <n v="9542"/>
    <x v="318"/>
    <x v="2"/>
  </r>
  <r>
    <n v="1326"/>
    <s v="Starbucks Bengaluru"/>
    <s v="India"/>
    <x v="0"/>
    <s v="Bengaluru"/>
    <s v="South"/>
    <x v="40"/>
    <x v="3"/>
    <x v="3"/>
    <x v="7"/>
    <s v="Vivek"/>
    <n v="24"/>
    <x v="318"/>
    <n v="6082.62"/>
    <n v="2821.38"/>
    <x v="49"/>
    <n v="4"/>
    <n v="0"/>
    <x v="0"/>
    <s v="Regular"/>
    <s v="Completed"/>
    <n v="12.97"/>
    <n v="77.59"/>
    <n v="10721"/>
    <x v="320"/>
    <n v="9550"/>
    <x v="319"/>
    <x v="1"/>
  </r>
  <r>
    <n v="1327"/>
    <s v="Starbucks Bengaluru"/>
    <s v="India"/>
    <x v="0"/>
    <s v="Bengaluru"/>
    <s v="South"/>
    <x v="130"/>
    <x v="4"/>
    <x v="0"/>
    <x v="0"/>
    <s v="Rahul"/>
    <n v="6"/>
    <x v="319"/>
    <n v="1307.32"/>
    <n v="828.68"/>
    <x v="117"/>
    <n v="4.3"/>
    <n v="0"/>
    <x v="0"/>
    <s v="Gold"/>
    <s v="Refunded"/>
    <n v="12.97"/>
    <n v="77.59"/>
    <n v="9967"/>
    <x v="321"/>
    <n v="8637"/>
    <x v="320"/>
    <x v="3"/>
  </r>
  <r>
    <n v="1328"/>
    <s v="Starbucks Bengaluru"/>
    <s v="India"/>
    <x v="0"/>
    <s v="Bengaluru"/>
    <s v="South"/>
    <x v="61"/>
    <x v="1"/>
    <x v="3"/>
    <x v="7"/>
    <s v="Vivek"/>
    <n v="30"/>
    <x v="320"/>
    <n v="7226.53"/>
    <n v="3183.47"/>
    <x v="48"/>
    <n v="4.9000000000000004"/>
    <n v="10"/>
    <x v="1"/>
    <s v="Gold"/>
    <s v="Refunded"/>
    <n v="12.97"/>
    <n v="77.59"/>
    <n v="6889"/>
    <x v="322"/>
    <n v="6310"/>
    <x v="321"/>
    <x v="2"/>
  </r>
  <r>
    <n v="1329"/>
    <s v="Starbucks Bengaluru"/>
    <s v="India"/>
    <x v="0"/>
    <s v="Bengaluru"/>
    <s v="South"/>
    <x v="45"/>
    <x v="3"/>
    <x v="1"/>
    <x v="8"/>
    <s v="Vivek"/>
    <n v="57"/>
    <x v="321"/>
    <n v="11477.01"/>
    <n v="7959.99"/>
    <x v="164"/>
    <n v="4.4000000000000004"/>
    <n v="15"/>
    <x v="2"/>
    <s v="Gold"/>
    <s v="Refunded"/>
    <n v="12.97"/>
    <n v="77.59"/>
    <n v="14996"/>
    <x v="323"/>
    <n v="13758"/>
    <x v="322"/>
    <x v="0"/>
  </r>
  <r>
    <n v="1330"/>
    <s v="Starbucks Chennai"/>
    <s v="India"/>
    <x v="3"/>
    <s v="Chennai"/>
    <s v="South"/>
    <x v="52"/>
    <x v="5"/>
    <x v="0"/>
    <x v="0"/>
    <s v="Neha"/>
    <n v="51"/>
    <x v="322"/>
    <n v="11622.87"/>
    <n v="6788.13"/>
    <x v="186"/>
    <n v="4.0999999999999996"/>
    <n v="5"/>
    <x v="1"/>
    <s v="Gold"/>
    <s v="Refunded"/>
    <n v="13.08"/>
    <n v="80.27"/>
    <n v="6377"/>
    <x v="324"/>
    <n v="5740"/>
    <x v="323"/>
    <x v="1"/>
  </r>
  <r>
    <n v="1331"/>
    <s v="Starbucks New Delhi"/>
    <s v="India"/>
    <x v="1"/>
    <s v="New Delhi"/>
    <s v="North"/>
    <x v="61"/>
    <x v="1"/>
    <x v="1"/>
    <x v="2"/>
    <s v="Neha"/>
    <n v="58"/>
    <x v="323"/>
    <n v="17040.25"/>
    <n v="6565.75"/>
    <x v="140"/>
    <n v="4.4000000000000004"/>
    <n v="0"/>
    <x v="1"/>
    <s v="Regular"/>
    <s v="Refunded"/>
    <n v="28.61"/>
    <n v="77.2"/>
    <n v="6876"/>
    <x v="325"/>
    <n v="5890"/>
    <x v="324"/>
    <x v="0"/>
  </r>
  <r>
    <n v="1332"/>
    <s v="Starbucks Chennai"/>
    <s v="India"/>
    <x v="3"/>
    <s v="Chennai"/>
    <s v="South"/>
    <x v="116"/>
    <x v="4"/>
    <x v="2"/>
    <x v="4"/>
    <s v="Vivek"/>
    <n v="19"/>
    <x v="324"/>
    <n v="4730.82"/>
    <n v="2204.1799999999998"/>
    <x v="21"/>
    <n v="5"/>
    <n v="15"/>
    <x v="1"/>
    <s v="Gold"/>
    <s v="Cancelled"/>
    <n v="13.08"/>
    <n v="80.27"/>
    <n v="11685"/>
    <x v="326"/>
    <n v="10643"/>
    <x v="325"/>
    <x v="2"/>
  </r>
  <r>
    <n v="1333"/>
    <s v="Starbucks Kochi"/>
    <s v="India"/>
    <x v="4"/>
    <s v="Kochi"/>
    <s v="South"/>
    <x v="67"/>
    <x v="0"/>
    <x v="1"/>
    <x v="2"/>
    <s v="Rahul"/>
    <n v="58"/>
    <x v="325"/>
    <n v="6586.87"/>
    <n v="5245.13"/>
    <x v="190"/>
    <n v="4.5"/>
    <n v="15"/>
    <x v="2"/>
    <s v="Premium"/>
    <s v="Cancelled"/>
    <n v="9.93"/>
    <n v="76.260000000000005"/>
    <n v="8227"/>
    <x v="327"/>
    <n v="6334"/>
    <x v="326"/>
    <x v="2"/>
  </r>
  <r>
    <n v="1334"/>
    <s v="Starbucks Kochi"/>
    <s v="India"/>
    <x v="4"/>
    <s v="Kochi"/>
    <s v="South"/>
    <x v="67"/>
    <x v="0"/>
    <x v="2"/>
    <x v="3"/>
    <s v="Vivek"/>
    <n v="59"/>
    <x v="326"/>
    <n v="10610.68"/>
    <n v="5673.32"/>
    <x v="139"/>
    <n v="4.5"/>
    <n v="15"/>
    <x v="0"/>
    <s v="Regular"/>
    <s v="Completed"/>
    <n v="9.93"/>
    <n v="76.260000000000005"/>
    <n v="10424"/>
    <x v="328"/>
    <n v="9053"/>
    <x v="327"/>
    <x v="0"/>
  </r>
  <r>
    <n v="1335"/>
    <s v="Starbucks Chennai"/>
    <s v="India"/>
    <x v="3"/>
    <s v="Chennai"/>
    <s v="South"/>
    <x v="14"/>
    <x v="5"/>
    <x v="0"/>
    <x v="1"/>
    <s v="Rahul"/>
    <n v="52"/>
    <x v="327"/>
    <n v="11663.65"/>
    <n v="5600.35"/>
    <x v="87"/>
    <n v="3.6"/>
    <n v="5"/>
    <x v="1"/>
    <s v="Premium"/>
    <s v="Refunded"/>
    <n v="13.08"/>
    <n v="80.27"/>
    <n v="12438"/>
    <x v="329"/>
    <n v="11330"/>
    <x v="328"/>
    <x v="0"/>
  </r>
  <r>
    <n v="1336"/>
    <s v="Starbucks New Delhi"/>
    <s v="India"/>
    <x v="1"/>
    <s v="New Delhi"/>
    <s v="North"/>
    <x v="148"/>
    <x v="5"/>
    <x v="2"/>
    <x v="4"/>
    <s v="Asha"/>
    <n v="29"/>
    <x v="328"/>
    <n v="3484.63"/>
    <n v="1851.37"/>
    <x v="191"/>
    <n v="3.6"/>
    <n v="0"/>
    <x v="1"/>
    <s v="Regular"/>
    <s v="Completed"/>
    <n v="28.61"/>
    <n v="77.2"/>
    <n v="6048"/>
    <x v="330"/>
    <n v="4441"/>
    <x v="329"/>
    <x v="1"/>
  </r>
  <r>
    <n v="1337"/>
    <s v="Starbucks New Delhi"/>
    <s v="India"/>
    <x v="1"/>
    <s v="New Delhi"/>
    <s v="North"/>
    <x v="132"/>
    <x v="0"/>
    <x v="0"/>
    <x v="1"/>
    <s v="Anu"/>
    <n v="47"/>
    <x v="329"/>
    <n v="13452.04"/>
    <n v="3514.96"/>
    <x v="154"/>
    <n v="4.7"/>
    <n v="5"/>
    <x v="0"/>
    <s v="Gold"/>
    <s v="Cancelled"/>
    <n v="28.61"/>
    <n v="77.2"/>
    <n v="13794"/>
    <x v="331"/>
    <n v="11807"/>
    <x v="330"/>
    <x v="0"/>
  </r>
  <r>
    <n v="1338"/>
    <s v="Starbucks New Delhi"/>
    <s v="India"/>
    <x v="1"/>
    <s v="New Delhi"/>
    <s v="North"/>
    <x v="118"/>
    <x v="0"/>
    <x v="3"/>
    <x v="6"/>
    <s v="Rahul"/>
    <n v="50"/>
    <x v="330"/>
    <n v="7758.1"/>
    <n v="2291.9"/>
    <x v="62"/>
    <n v="4.8"/>
    <n v="5"/>
    <x v="1"/>
    <s v="Premium"/>
    <s v="Cancelled"/>
    <n v="28.61"/>
    <n v="77.2"/>
    <n v="13452"/>
    <x v="332"/>
    <n v="11988"/>
    <x v="331"/>
    <x v="1"/>
  </r>
  <r>
    <n v="1339"/>
    <s v="Starbucks Mumbai"/>
    <s v="India"/>
    <x v="2"/>
    <s v="Mumbai"/>
    <s v="West"/>
    <x v="75"/>
    <x v="4"/>
    <x v="1"/>
    <x v="8"/>
    <s v="Vivek"/>
    <n v="26"/>
    <x v="331"/>
    <n v="6123.51"/>
    <n v="4198.49"/>
    <x v="57"/>
    <n v="3.9"/>
    <n v="5"/>
    <x v="0"/>
    <s v="Regular"/>
    <s v="Completed"/>
    <n v="19.07"/>
    <n v="72.87"/>
    <n v="14902"/>
    <x v="333"/>
    <n v="14230"/>
    <x v="332"/>
    <x v="0"/>
  </r>
  <r>
    <n v="1340"/>
    <s v="Starbucks Mumbai"/>
    <s v="India"/>
    <x v="2"/>
    <s v="Mumbai"/>
    <s v="West"/>
    <x v="145"/>
    <x v="1"/>
    <x v="2"/>
    <x v="4"/>
    <s v="Neha"/>
    <n v="27"/>
    <x v="332"/>
    <n v="6217.02"/>
    <n v="4312.9799999999996"/>
    <x v="192"/>
    <n v="4"/>
    <n v="5"/>
    <x v="1"/>
    <s v="Gold"/>
    <s v="Completed"/>
    <n v="19.07"/>
    <n v="72.87"/>
    <n v="12618"/>
    <x v="334"/>
    <n v="11352"/>
    <x v="333"/>
    <x v="0"/>
  </r>
  <r>
    <n v="1341"/>
    <s v="Starbucks Mumbai"/>
    <s v="India"/>
    <x v="2"/>
    <s v="Mumbai"/>
    <s v="West"/>
    <x v="63"/>
    <x v="4"/>
    <x v="3"/>
    <x v="6"/>
    <s v="Neha"/>
    <n v="7"/>
    <x v="333"/>
    <n v="1634.03"/>
    <n v="1172.97"/>
    <x v="193"/>
    <n v="4.3"/>
    <n v="10"/>
    <x v="0"/>
    <s v="Regular"/>
    <s v="Refunded"/>
    <n v="19.07"/>
    <n v="72.87"/>
    <n v="5743"/>
    <x v="335"/>
    <n v="4050"/>
    <x v="334"/>
    <x v="2"/>
  </r>
  <r>
    <n v="1342"/>
    <s v="Starbucks Mumbai"/>
    <s v="India"/>
    <x v="2"/>
    <s v="Mumbai"/>
    <s v="West"/>
    <x v="79"/>
    <x v="3"/>
    <x v="0"/>
    <x v="5"/>
    <s v="Asha"/>
    <n v="53"/>
    <x v="334"/>
    <n v="7554.72"/>
    <n v="3893.28"/>
    <x v="142"/>
    <n v="3.8"/>
    <n v="10"/>
    <x v="0"/>
    <s v="Gold"/>
    <s v="Refunded"/>
    <n v="19.07"/>
    <n v="72.87"/>
    <n v="13046"/>
    <x v="336"/>
    <n v="11784"/>
    <x v="335"/>
    <x v="2"/>
  </r>
  <r>
    <n v="1343"/>
    <s v="Starbucks Kochi"/>
    <s v="India"/>
    <x v="4"/>
    <s v="Kochi"/>
    <s v="South"/>
    <x v="8"/>
    <x v="5"/>
    <x v="3"/>
    <x v="6"/>
    <s v="Vivek"/>
    <n v="57"/>
    <x v="335"/>
    <n v="8040.22"/>
    <n v="5012.78"/>
    <x v="109"/>
    <n v="4.3"/>
    <n v="5"/>
    <x v="1"/>
    <s v="Premium"/>
    <s v="Cancelled"/>
    <n v="9.93"/>
    <n v="76.260000000000005"/>
    <n v="5141"/>
    <x v="337"/>
    <n v="4327"/>
    <x v="336"/>
    <x v="1"/>
  </r>
  <r>
    <n v="1344"/>
    <s v="Starbucks Chennai"/>
    <s v="India"/>
    <x v="3"/>
    <s v="Chennai"/>
    <s v="South"/>
    <x v="133"/>
    <x v="1"/>
    <x v="3"/>
    <x v="6"/>
    <s v="Anu"/>
    <n v="39"/>
    <x v="336"/>
    <n v="5404.3"/>
    <n v="4072.7"/>
    <x v="194"/>
    <n v="4.3"/>
    <n v="15"/>
    <x v="1"/>
    <s v="Regular"/>
    <s v="Refunded"/>
    <n v="13.08"/>
    <n v="80.27"/>
    <n v="10295"/>
    <x v="338"/>
    <n v="9086"/>
    <x v="337"/>
    <x v="1"/>
  </r>
  <r>
    <n v="1345"/>
    <s v="Starbucks Chennai"/>
    <s v="India"/>
    <x v="3"/>
    <s v="Chennai"/>
    <s v="South"/>
    <x v="30"/>
    <x v="5"/>
    <x v="0"/>
    <x v="1"/>
    <s v="Vivek"/>
    <n v="27"/>
    <x v="337"/>
    <n v="4582.5200000000004"/>
    <n v="2572.48"/>
    <x v="176"/>
    <n v="3.9"/>
    <n v="5"/>
    <x v="0"/>
    <s v="Regular"/>
    <s v="Completed"/>
    <n v="13.08"/>
    <n v="80.27"/>
    <n v="14884"/>
    <x v="339"/>
    <n v="13054"/>
    <x v="338"/>
    <x v="0"/>
  </r>
  <r>
    <n v="1346"/>
    <s v="Starbucks Bengaluru"/>
    <s v="India"/>
    <x v="0"/>
    <s v="Bengaluru"/>
    <s v="South"/>
    <x v="62"/>
    <x v="3"/>
    <x v="2"/>
    <x v="3"/>
    <s v="Asha"/>
    <n v="31"/>
    <x v="338"/>
    <n v="6879.08"/>
    <n v="3846.92"/>
    <x v="176"/>
    <n v="4.5999999999999996"/>
    <n v="0"/>
    <x v="1"/>
    <s v="Regular"/>
    <s v="Refunded"/>
    <n v="12.97"/>
    <n v="77.59"/>
    <n v="8267"/>
    <x v="340"/>
    <n v="7688"/>
    <x v="339"/>
    <x v="2"/>
  </r>
  <r>
    <n v="1347"/>
    <s v="Starbucks Mumbai"/>
    <s v="India"/>
    <x v="2"/>
    <s v="Mumbai"/>
    <s v="West"/>
    <x v="99"/>
    <x v="3"/>
    <x v="2"/>
    <x v="4"/>
    <s v="Vivek"/>
    <n v="53"/>
    <x v="339"/>
    <n v="6467.5"/>
    <n v="3125.5"/>
    <x v="153"/>
    <n v="3.7"/>
    <n v="15"/>
    <x v="1"/>
    <s v="Premium"/>
    <s v="Refunded"/>
    <n v="19.07"/>
    <n v="72.87"/>
    <n v="5955"/>
    <x v="341"/>
    <n v="4235"/>
    <x v="340"/>
    <x v="2"/>
  </r>
  <r>
    <n v="1348"/>
    <s v="Starbucks Bengaluru"/>
    <s v="India"/>
    <x v="0"/>
    <s v="Bengaluru"/>
    <s v="South"/>
    <x v="18"/>
    <x v="1"/>
    <x v="0"/>
    <x v="5"/>
    <s v="Asha"/>
    <n v="32"/>
    <x v="191"/>
    <n v="7234.09"/>
    <n v="3069.91"/>
    <x v="133"/>
    <n v="4.5999999999999996"/>
    <n v="15"/>
    <x v="0"/>
    <s v="Gold"/>
    <s v="Refunded"/>
    <n v="12.97"/>
    <n v="77.59"/>
    <n v="11704"/>
    <x v="342"/>
    <n v="10080"/>
    <x v="341"/>
    <x v="3"/>
  </r>
  <r>
    <n v="1349"/>
    <s v="Starbucks Bengaluru"/>
    <s v="India"/>
    <x v="0"/>
    <s v="Bengaluru"/>
    <s v="South"/>
    <x v="126"/>
    <x v="4"/>
    <x v="3"/>
    <x v="7"/>
    <s v="Asha"/>
    <n v="27"/>
    <x v="340"/>
    <n v="6062.05"/>
    <n v="4602.95"/>
    <x v="52"/>
    <n v="3.7"/>
    <n v="0"/>
    <x v="0"/>
    <s v="Premium"/>
    <s v="Completed"/>
    <n v="12.97"/>
    <n v="77.59"/>
    <n v="11612"/>
    <x v="343"/>
    <n v="9772"/>
    <x v="342"/>
    <x v="1"/>
  </r>
  <r>
    <n v="1350"/>
    <s v="Starbucks New Delhi"/>
    <s v="India"/>
    <x v="1"/>
    <s v="New Delhi"/>
    <s v="North"/>
    <x v="110"/>
    <x v="4"/>
    <x v="1"/>
    <x v="2"/>
    <s v="Asha"/>
    <n v="37"/>
    <x v="341"/>
    <n v="9691.8700000000008"/>
    <n v="4109.13"/>
    <x v="117"/>
    <n v="3.5"/>
    <n v="10"/>
    <x v="0"/>
    <s v="Gold"/>
    <s v="Cancelled"/>
    <n v="28.61"/>
    <n v="77.2"/>
    <n v="8823"/>
    <x v="344"/>
    <n v="7581"/>
    <x v="343"/>
    <x v="2"/>
  </r>
  <r>
    <n v="1351"/>
    <s v="Starbucks New Delhi"/>
    <s v="India"/>
    <x v="1"/>
    <s v="New Delhi"/>
    <s v="North"/>
    <x v="31"/>
    <x v="3"/>
    <x v="3"/>
    <x v="7"/>
    <s v="Neha"/>
    <n v="39"/>
    <x v="342"/>
    <n v="9055.07"/>
    <n v="6037.93"/>
    <x v="84"/>
    <n v="4.7"/>
    <n v="15"/>
    <x v="0"/>
    <s v="Premium"/>
    <s v="Completed"/>
    <n v="28.61"/>
    <n v="77.2"/>
    <n v="14555"/>
    <x v="345"/>
    <n v="14045"/>
    <x v="344"/>
    <x v="0"/>
  </r>
  <r>
    <n v="1352"/>
    <s v="Starbucks Bengaluru"/>
    <s v="India"/>
    <x v="0"/>
    <s v="Bengaluru"/>
    <s v="South"/>
    <x v="1"/>
    <x v="1"/>
    <x v="2"/>
    <x v="4"/>
    <s v="Asha"/>
    <n v="9"/>
    <x v="343"/>
    <n v="1347.58"/>
    <n v="587.41999999999996"/>
    <x v="195"/>
    <n v="3.6"/>
    <n v="5"/>
    <x v="1"/>
    <s v="Premium"/>
    <s v="Completed"/>
    <n v="12.97"/>
    <n v="77.59"/>
    <n v="7716"/>
    <x v="346"/>
    <n v="6461"/>
    <x v="345"/>
    <x v="3"/>
  </r>
  <r>
    <n v="1353"/>
    <s v="Starbucks Kochi"/>
    <s v="India"/>
    <x v="4"/>
    <s v="Kochi"/>
    <s v="South"/>
    <x v="47"/>
    <x v="2"/>
    <x v="3"/>
    <x v="6"/>
    <s v="Neha"/>
    <n v="18"/>
    <x v="344"/>
    <n v="4876.78"/>
    <n v="2395.2199999999998"/>
    <x v="140"/>
    <n v="3.6"/>
    <n v="5"/>
    <x v="0"/>
    <s v="Gold"/>
    <s v="Cancelled"/>
    <n v="9.93"/>
    <n v="76.260000000000005"/>
    <n v="14392"/>
    <x v="347"/>
    <n v="13020"/>
    <x v="346"/>
    <x v="1"/>
  </r>
  <r>
    <n v="1354"/>
    <s v="Starbucks Mumbai"/>
    <s v="India"/>
    <x v="2"/>
    <s v="Mumbai"/>
    <s v="West"/>
    <x v="12"/>
    <x v="4"/>
    <x v="1"/>
    <x v="8"/>
    <s v="Anu"/>
    <n v="33"/>
    <x v="345"/>
    <n v="5193.59"/>
    <n v="2429.41"/>
    <x v="32"/>
    <n v="3.6"/>
    <n v="0"/>
    <x v="1"/>
    <s v="Gold"/>
    <s v="Completed"/>
    <n v="19.07"/>
    <n v="72.87"/>
    <n v="14913"/>
    <x v="348"/>
    <n v="13946"/>
    <x v="347"/>
    <x v="2"/>
  </r>
  <r>
    <n v="1355"/>
    <s v="Starbucks Mumbai"/>
    <s v="India"/>
    <x v="2"/>
    <s v="Mumbai"/>
    <s v="West"/>
    <x v="30"/>
    <x v="5"/>
    <x v="2"/>
    <x v="4"/>
    <s v="Vivek"/>
    <n v="12"/>
    <x v="346"/>
    <n v="2191"/>
    <n v="593"/>
    <x v="14"/>
    <n v="4.4000000000000004"/>
    <n v="15"/>
    <x v="1"/>
    <s v="Premium"/>
    <s v="Cancelled"/>
    <n v="19.07"/>
    <n v="72.87"/>
    <n v="12783"/>
    <x v="349"/>
    <n v="12117"/>
    <x v="348"/>
    <x v="3"/>
  </r>
  <r>
    <n v="1356"/>
    <s v="Starbucks New Delhi"/>
    <s v="India"/>
    <x v="1"/>
    <s v="New Delhi"/>
    <s v="North"/>
    <x v="8"/>
    <x v="5"/>
    <x v="3"/>
    <x v="6"/>
    <s v="Anu"/>
    <n v="38"/>
    <x v="347"/>
    <n v="6515.04"/>
    <n v="1654.96"/>
    <x v="196"/>
    <n v="4.7"/>
    <n v="0"/>
    <x v="2"/>
    <s v="Gold"/>
    <s v="Cancelled"/>
    <n v="28.61"/>
    <n v="77.2"/>
    <n v="7011"/>
    <x v="350"/>
    <n v="5623"/>
    <x v="349"/>
    <x v="1"/>
  </r>
  <r>
    <n v="1357"/>
    <s v="Starbucks Mumbai"/>
    <s v="India"/>
    <x v="2"/>
    <s v="Mumbai"/>
    <s v="West"/>
    <x v="149"/>
    <x v="1"/>
    <x v="1"/>
    <x v="2"/>
    <s v="Anu"/>
    <n v="8"/>
    <x v="348"/>
    <n v="1178.83"/>
    <n v="629.16999999999996"/>
    <x v="78"/>
    <n v="4.3"/>
    <n v="5"/>
    <x v="2"/>
    <s v="Premium"/>
    <s v="Completed"/>
    <n v="19.07"/>
    <n v="72.87"/>
    <n v="5818"/>
    <x v="351"/>
    <n v="5003"/>
    <x v="350"/>
    <x v="0"/>
  </r>
  <r>
    <n v="1358"/>
    <s v="Starbucks Mumbai"/>
    <s v="India"/>
    <x v="2"/>
    <s v="Mumbai"/>
    <s v="West"/>
    <x v="16"/>
    <x v="0"/>
    <x v="3"/>
    <x v="6"/>
    <s v="Anu"/>
    <n v="50"/>
    <x v="349"/>
    <n v="13664.07"/>
    <n v="4335.93"/>
    <x v="197"/>
    <n v="4.2"/>
    <n v="5"/>
    <x v="1"/>
    <s v="Premium"/>
    <s v="Cancelled"/>
    <n v="19.07"/>
    <n v="72.87"/>
    <n v="13502"/>
    <x v="352"/>
    <n v="11733"/>
    <x v="351"/>
    <x v="0"/>
  </r>
  <r>
    <n v="1359"/>
    <s v="Starbucks Kochi"/>
    <s v="India"/>
    <x v="4"/>
    <s v="Kochi"/>
    <s v="South"/>
    <x v="93"/>
    <x v="4"/>
    <x v="0"/>
    <x v="1"/>
    <s v="Rahul"/>
    <n v="58"/>
    <x v="350"/>
    <n v="8827.9699999999993"/>
    <n v="6136.03"/>
    <x v="198"/>
    <n v="3.6"/>
    <n v="0"/>
    <x v="0"/>
    <s v="Gold"/>
    <s v="Cancelled"/>
    <n v="9.93"/>
    <n v="76.260000000000005"/>
    <n v="5857"/>
    <x v="353"/>
    <n v="3964"/>
    <x v="352"/>
    <x v="3"/>
  </r>
  <r>
    <n v="1360"/>
    <s v="Starbucks Kochi"/>
    <s v="India"/>
    <x v="4"/>
    <s v="Kochi"/>
    <s v="South"/>
    <x v="13"/>
    <x v="4"/>
    <x v="3"/>
    <x v="7"/>
    <s v="Asha"/>
    <n v="50"/>
    <x v="351"/>
    <n v="6809.99"/>
    <n v="3640.01"/>
    <x v="119"/>
    <n v="3.8"/>
    <n v="5"/>
    <x v="0"/>
    <s v="Premium"/>
    <s v="Refunded"/>
    <n v="9.93"/>
    <n v="76.260000000000005"/>
    <n v="5760"/>
    <x v="354"/>
    <n v="3791"/>
    <x v="353"/>
    <x v="0"/>
  </r>
  <r>
    <n v="1361"/>
    <s v="Starbucks Kochi"/>
    <s v="India"/>
    <x v="4"/>
    <s v="Kochi"/>
    <s v="South"/>
    <x v="123"/>
    <x v="4"/>
    <x v="1"/>
    <x v="2"/>
    <s v="Neha"/>
    <n v="55"/>
    <x v="352"/>
    <n v="10128.09"/>
    <n v="3951.91"/>
    <x v="66"/>
    <n v="4.8"/>
    <n v="0"/>
    <x v="2"/>
    <s v="Premium"/>
    <s v="Refunded"/>
    <n v="9.93"/>
    <n v="76.260000000000005"/>
    <n v="12600"/>
    <x v="355"/>
    <n v="11426"/>
    <x v="354"/>
    <x v="1"/>
  </r>
  <r>
    <n v="1362"/>
    <s v="Starbucks Kochi"/>
    <s v="India"/>
    <x v="4"/>
    <s v="Kochi"/>
    <s v="South"/>
    <x v="136"/>
    <x v="1"/>
    <x v="2"/>
    <x v="3"/>
    <s v="Asha"/>
    <n v="16"/>
    <x v="353"/>
    <n v="2299.17"/>
    <n v="1700.83"/>
    <x v="66"/>
    <n v="4.5"/>
    <n v="0"/>
    <x v="2"/>
    <s v="Gold"/>
    <s v="Refunded"/>
    <n v="9.93"/>
    <n v="76.260000000000005"/>
    <n v="13554"/>
    <x v="257"/>
    <n v="12747"/>
    <x v="355"/>
    <x v="3"/>
  </r>
  <r>
    <n v="1363"/>
    <s v="Starbucks Chennai"/>
    <s v="India"/>
    <x v="3"/>
    <s v="Chennai"/>
    <s v="South"/>
    <x v="51"/>
    <x v="2"/>
    <x v="3"/>
    <x v="7"/>
    <s v="Neha"/>
    <n v="45"/>
    <x v="22"/>
    <n v="7460.58"/>
    <n v="4779.42"/>
    <x v="199"/>
    <n v="3.6"/>
    <n v="5"/>
    <x v="2"/>
    <s v="Regular"/>
    <s v="Refunded"/>
    <n v="13.08"/>
    <n v="80.27"/>
    <n v="10451"/>
    <x v="356"/>
    <n v="9508"/>
    <x v="356"/>
    <x v="3"/>
  </r>
  <r>
    <n v="1364"/>
    <s v="Starbucks New Delhi"/>
    <s v="India"/>
    <x v="1"/>
    <s v="New Delhi"/>
    <s v="North"/>
    <x v="116"/>
    <x v="4"/>
    <x v="3"/>
    <x v="7"/>
    <s v="Neha"/>
    <n v="41"/>
    <x v="354"/>
    <n v="8017.9"/>
    <n v="4159.1000000000004"/>
    <x v="66"/>
    <n v="4.5999999999999996"/>
    <n v="10"/>
    <x v="0"/>
    <s v="Premium"/>
    <s v="Completed"/>
    <n v="28.61"/>
    <n v="77.2"/>
    <n v="14188"/>
    <x v="357"/>
    <n v="12305"/>
    <x v="357"/>
    <x v="1"/>
  </r>
  <r>
    <n v="1365"/>
    <s v="Starbucks Kochi"/>
    <s v="India"/>
    <x v="4"/>
    <s v="Kochi"/>
    <s v="South"/>
    <x v="106"/>
    <x v="1"/>
    <x v="0"/>
    <x v="0"/>
    <s v="Neha"/>
    <n v="27"/>
    <x v="355"/>
    <n v="6024.36"/>
    <n v="3479.64"/>
    <x v="198"/>
    <n v="3.9"/>
    <n v="5"/>
    <x v="0"/>
    <s v="Premium"/>
    <s v="Cancelled"/>
    <n v="9.93"/>
    <n v="76.260000000000005"/>
    <n v="14617"/>
    <x v="358"/>
    <n v="13668"/>
    <x v="358"/>
    <x v="0"/>
  </r>
  <r>
    <n v="1366"/>
    <s v="Starbucks Bengaluru"/>
    <s v="India"/>
    <x v="0"/>
    <s v="Bengaluru"/>
    <s v="South"/>
    <x v="99"/>
    <x v="3"/>
    <x v="3"/>
    <x v="7"/>
    <s v="Neha"/>
    <n v="56"/>
    <x v="356"/>
    <n v="13469.65"/>
    <n v="4450.3500000000004"/>
    <x v="45"/>
    <n v="5"/>
    <n v="15"/>
    <x v="1"/>
    <s v="Premium"/>
    <s v="Cancelled"/>
    <n v="12.97"/>
    <n v="77.59"/>
    <n v="13733"/>
    <x v="359"/>
    <n v="12529"/>
    <x v="359"/>
    <x v="0"/>
  </r>
  <r>
    <n v="1367"/>
    <s v="Starbucks Mumbai"/>
    <s v="India"/>
    <x v="2"/>
    <s v="Mumbai"/>
    <s v="West"/>
    <x v="88"/>
    <x v="2"/>
    <x v="3"/>
    <x v="6"/>
    <s v="Vivek"/>
    <n v="40"/>
    <x v="357"/>
    <n v="8973.41"/>
    <n v="4266.59"/>
    <x v="113"/>
    <n v="4.3"/>
    <n v="10"/>
    <x v="2"/>
    <s v="Regular"/>
    <s v="Refunded"/>
    <n v="19.07"/>
    <n v="72.87"/>
    <n v="7438"/>
    <x v="360"/>
    <n v="6306"/>
    <x v="360"/>
    <x v="3"/>
  </r>
  <r>
    <n v="1368"/>
    <s v="Starbucks Kochi"/>
    <s v="India"/>
    <x v="4"/>
    <s v="Kochi"/>
    <s v="South"/>
    <x v="62"/>
    <x v="3"/>
    <x v="3"/>
    <x v="6"/>
    <s v="Rahul"/>
    <n v="34"/>
    <x v="358"/>
    <n v="7984.72"/>
    <n v="2147.2800000000002"/>
    <x v="15"/>
    <n v="4"/>
    <n v="15"/>
    <x v="2"/>
    <s v="Gold"/>
    <s v="Completed"/>
    <n v="9.93"/>
    <n v="76.260000000000005"/>
    <n v="14217"/>
    <x v="115"/>
    <n v="12459"/>
    <x v="361"/>
    <x v="2"/>
  </r>
  <r>
    <n v="1369"/>
    <s v="Starbucks Mumbai"/>
    <s v="India"/>
    <x v="2"/>
    <s v="Mumbai"/>
    <s v="West"/>
    <x v="118"/>
    <x v="0"/>
    <x v="2"/>
    <x v="3"/>
    <s v="Asha"/>
    <n v="58"/>
    <x v="359"/>
    <n v="9156.0300000000007"/>
    <n v="6793.97"/>
    <x v="200"/>
    <n v="4.2"/>
    <n v="10"/>
    <x v="1"/>
    <s v="Gold"/>
    <s v="Cancelled"/>
    <n v="19.07"/>
    <n v="72.87"/>
    <n v="5292"/>
    <x v="361"/>
    <n v="4291"/>
    <x v="362"/>
    <x v="0"/>
  </r>
  <r>
    <n v="1370"/>
    <s v="Starbucks Mumbai"/>
    <s v="India"/>
    <x v="2"/>
    <s v="Mumbai"/>
    <s v="West"/>
    <x v="150"/>
    <x v="1"/>
    <x v="3"/>
    <x v="7"/>
    <s v="Neha"/>
    <n v="24"/>
    <x v="344"/>
    <n v="4518.5200000000004"/>
    <n v="2753.48"/>
    <x v="122"/>
    <n v="4.9000000000000004"/>
    <n v="0"/>
    <x v="0"/>
    <s v="Gold"/>
    <s v="Refunded"/>
    <n v="19.07"/>
    <n v="72.87"/>
    <n v="9162"/>
    <x v="362"/>
    <n v="7856"/>
    <x v="363"/>
    <x v="2"/>
  </r>
  <r>
    <n v="1371"/>
    <s v="Starbucks Chennai"/>
    <s v="India"/>
    <x v="3"/>
    <s v="Chennai"/>
    <s v="South"/>
    <x v="73"/>
    <x v="5"/>
    <x v="1"/>
    <x v="8"/>
    <s v="Rahul"/>
    <n v="19"/>
    <x v="360"/>
    <n v="4216.99"/>
    <n v="1198.01"/>
    <x v="175"/>
    <n v="3.9"/>
    <n v="5"/>
    <x v="2"/>
    <s v="Regular"/>
    <s v="Completed"/>
    <n v="13.08"/>
    <n v="80.27"/>
    <n v="11346"/>
    <x v="363"/>
    <n v="10117"/>
    <x v="364"/>
    <x v="1"/>
  </r>
  <r>
    <n v="1372"/>
    <s v="Starbucks Mumbai"/>
    <s v="India"/>
    <x v="2"/>
    <s v="Mumbai"/>
    <s v="West"/>
    <x v="116"/>
    <x v="4"/>
    <x v="0"/>
    <x v="0"/>
    <s v="Rahul"/>
    <n v="45"/>
    <x v="361"/>
    <n v="11780.27"/>
    <n v="5994.73"/>
    <x v="46"/>
    <n v="4.9000000000000004"/>
    <n v="0"/>
    <x v="1"/>
    <s v="Regular"/>
    <s v="Cancelled"/>
    <n v="19.07"/>
    <n v="72.87"/>
    <n v="7987"/>
    <x v="364"/>
    <n v="7116"/>
    <x v="365"/>
    <x v="1"/>
  </r>
  <r>
    <n v="1373"/>
    <s v="Starbucks Kochi"/>
    <s v="India"/>
    <x v="4"/>
    <s v="Kochi"/>
    <s v="South"/>
    <x v="151"/>
    <x v="2"/>
    <x v="3"/>
    <x v="6"/>
    <s v="Neha"/>
    <n v="13"/>
    <x v="362"/>
    <n v="3008.48"/>
    <n v="1528.52"/>
    <x v="152"/>
    <n v="4.7"/>
    <n v="15"/>
    <x v="2"/>
    <s v="Gold"/>
    <s v="Completed"/>
    <n v="9.93"/>
    <n v="76.260000000000005"/>
    <n v="10434"/>
    <x v="365"/>
    <n v="9731"/>
    <x v="366"/>
    <x v="1"/>
  </r>
  <r>
    <n v="1374"/>
    <s v="Starbucks Chennai"/>
    <s v="India"/>
    <x v="3"/>
    <s v="Chennai"/>
    <s v="South"/>
    <x v="104"/>
    <x v="2"/>
    <x v="1"/>
    <x v="2"/>
    <s v="Neha"/>
    <n v="11"/>
    <x v="363"/>
    <n v="1641.49"/>
    <n v="690.51"/>
    <x v="117"/>
    <n v="4.5999999999999996"/>
    <n v="0"/>
    <x v="0"/>
    <s v="Premium"/>
    <s v="Refunded"/>
    <n v="13.08"/>
    <n v="80.27"/>
    <n v="6467"/>
    <x v="366"/>
    <n v="5042"/>
    <x v="367"/>
    <x v="0"/>
  </r>
  <r>
    <n v="1375"/>
    <s v="Starbucks Kochi"/>
    <s v="India"/>
    <x v="4"/>
    <s v="Kochi"/>
    <s v="South"/>
    <x v="47"/>
    <x v="2"/>
    <x v="2"/>
    <x v="4"/>
    <s v="Anu"/>
    <n v="47"/>
    <x v="364"/>
    <n v="7809.25"/>
    <n v="5820.75"/>
    <x v="128"/>
    <n v="3.8"/>
    <n v="0"/>
    <x v="2"/>
    <s v="Gold"/>
    <s v="Completed"/>
    <n v="9.93"/>
    <n v="76.260000000000005"/>
    <n v="12105"/>
    <x v="367"/>
    <n v="11571"/>
    <x v="368"/>
    <x v="3"/>
  </r>
  <r>
    <n v="1376"/>
    <s v="Starbucks Kochi"/>
    <s v="India"/>
    <x v="4"/>
    <s v="Kochi"/>
    <s v="South"/>
    <x v="118"/>
    <x v="0"/>
    <x v="1"/>
    <x v="2"/>
    <s v="Rahul"/>
    <n v="33"/>
    <x v="365"/>
    <n v="4844.53"/>
    <n v="1458.47"/>
    <x v="8"/>
    <n v="3.6"/>
    <n v="10"/>
    <x v="0"/>
    <s v="Gold"/>
    <s v="Cancelled"/>
    <n v="9.93"/>
    <n v="76.260000000000005"/>
    <n v="12545"/>
    <x v="368"/>
    <n v="10786"/>
    <x v="369"/>
    <x v="2"/>
  </r>
  <r>
    <n v="1377"/>
    <s v="Starbucks New Delhi"/>
    <s v="India"/>
    <x v="1"/>
    <s v="New Delhi"/>
    <s v="North"/>
    <x v="73"/>
    <x v="5"/>
    <x v="3"/>
    <x v="7"/>
    <s v="Vivek"/>
    <n v="30"/>
    <x v="366"/>
    <n v="4361.74"/>
    <n v="1578.26"/>
    <x v="74"/>
    <n v="4.8"/>
    <n v="10"/>
    <x v="0"/>
    <s v="Regular"/>
    <s v="Cancelled"/>
    <n v="28.61"/>
    <n v="77.2"/>
    <n v="8350"/>
    <x v="369"/>
    <n v="6634"/>
    <x v="370"/>
    <x v="2"/>
  </r>
  <r>
    <n v="1378"/>
    <s v="Starbucks Kochi"/>
    <s v="India"/>
    <x v="4"/>
    <s v="Kochi"/>
    <s v="South"/>
    <x v="85"/>
    <x v="3"/>
    <x v="3"/>
    <x v="6"/>
    <s v="Neha"/>
    <n v="10"/>
    <x v="367"/>
    <n v="1311.17"/>
    <n v="608.83000000000004"/>
    <x v="139"/>
    <n v="4.5999999999999996"/>
    <n v="10"/>
    <x v="1"/>
    <s v="Premium"/>
    <s v="Refunded"/>
    <n v="9.93"/>
    <n v="76.260000000000005"/>
    <n v="9898"/>
    <x v="370"/>
    <n v="9022"/>
    <x v="371"/>
    <x v="3"/>
  </r>
  <r>
    <n v="1379"/>
    <s v="Starbucks Kochi"/>
    <s v="India"/>
    <x v="4"/>
    <s v="Kochi"/>
    <s v="South"/>
    <x v="20"/>
    <x v="0"/>
    <x v="3"/>
    <x v="6"/>
    <s v="Asha"/>
    <n v="60"/>
    <x v="368"/>
    <n v="7815.36"/>
    <n v="4844.6400000000003"/>
    <x v="201"/>
    <n v="4.5"/>
    <n v="10"/>
    <x v="2"/>
    <s v="Gold"/>
    <s v="Refunded"/>
    <n v="9.93"/>
    <n v="76.260000000000005"/>
    <n v="8303"/>
    <x v="371"/>
    <n v="7013"/>
    <x v="372"/>
    <x v="3"/>
  </r>
  <r>
    <n v="1380"/>
    <s v="Starbucks Mumbai"/>
    <s v="India"/>
    <x v="2"/>
    <s v="Mumbai"/>
    <s v="West"/>
    <x v="77"/>
    <x v="0"/>
    <x v="0"/>
    <x v="1"/>
    <s v="Asha"/>
    <n v="25"/>
    <x v="369"/>
    <n v="6366.52"/>
    <n v="3333.48"/>
    <x v="73"/>
    <n v="4.2"/>
    <n v="5"/>
    <x v="2"/>
    <s v="Gold"/>
    <s v="Cancelled"/>
    <n v="19.07"/>
    <n v="72.87"/>
    <n v="5442"/>
    <x v="372"/>
    <n v="4491"/>
    <x v="373"/>
    <x v="1"/>
  </r>
  <r>
    <n v="1381"/>
    <s v="Starbucks Mumbai"/>
    <s v="India"/>
    <x v="2"/>
    <s v="Mumbai"/>
    <s v="West"/>
    <x v="135"/>
    <x v="0"/>
    <x v="0"/>
    <x v="5"/>
    <s v="Asha"/>
    <n v="52"/>
    <x v="370"/>
    <n v="10978.47"/>
    <n v="7169.53"/>
    <x v="115"/>
    <n v="4.5"/>
    <n v="5"/>
    <x v="0"/>
    <s v="Gold"/>
    <s v="Completed"/>
    <n v="19.07"/>
    <n v="72.87"/>
    <n v="5493"/>
    <x v="373"/>
    <n v="3621"/>
    <x v="374"/>
    <x v="3"/>
  </r>
  <r>
    <n v="1382"/>
    <s v="Starbucks Bengaluru"/>
    <s v="India"/>
    <x v="0"/>
    <s v="Bengaluru"/>
    <s v="South"/>
    <x v="152"/>
    <x v="2"/>
    <x v="1"/>
    <x v="2"/>
    <s v="Anu"/>
    <n v="5"/>
    <x v="371"/>
    <n v="965.67"/>
    <n v="699.33"/>
    <x v="70"/>
    <n v="4.5999999999999996"/>
    <n v="15"/>
    <x v="2"/>
    <s v="Gold"/>
    <s v="Completed"/>
    <n v="12.97"/>
    <n v="77.59"/>
    <n v="6448"/>
    <x v="374"/>
    <n v="5422"/>
    <x v="375"/>
    <x v="3"/>
  </r>
  <r>
    <n v="1383"/>
    <s v="Starbucks New Delhi"/>
    <s v="India"/>
    <x v="1"/>
    <s v="New Delhi"/>
    <s v="North"/>
    <x v="84"/>
    <x v="5"/>
    <x v="1"/>
    <x v="2"/>
    <s v="Asha"/>
    <n v="59"/>
    <x v="372"/>
    <n v="10668.69"/>
    <n v="6146.31"/>
    <x v="76"/>
    <n v="4.2"/>
    <n v="15"/>
    <x v="1"/>
    <s v="Gold"/>
    <s v="Completed"/>
    <n v="28.61"/>
    <n v="77.2"/>
    <n v="5455"/>
    <x v="375"/>
    <n v="4063"/>
    <x v="376"/>
    <x v="3"/>
  </r>
  <r>
    <n v="1384"/>
    <s v="Starbucks Mumbai"/>
    <s v="India"/>
    <x v="2"/>
    <s v="Mumbai"/>
    <s v="West"/>
    <x v="16"/>
    <x v="0"/>
    <x v="0"/>
    <x v="0"/>
    <s v="Anu"/>
    <n v="28"/>
    <x v="373"/>
    <n v="8270.2199999999993"/>
    <n v="2229.7800000000002"/>
    <x v="28"/>
    <n v="4.9000000000000004"/>
    <n v="5"/>
    <x v="2"/>
    <s v="Regular"/>
    <s v="Refunded"/>
    <n v="19.07"/>
    <n v="72.87"/>
    <n v="7205"/>
    <x v="376"/>
    <n v="5939"/>
    <x v="377"/>
    <x v="1"/>
  </r>
  <r>
    <n v="1385"/>
    <s v="Starbucks New Delhi"/>
    <s v="India"/>
    <x v="1"/>
    <s v="New Delhi"/>
    <s v="North"/>
    <x v="130"/>
    <x v="4"/>
    <x v="1"/>
    <x v="2"/>
    <s v="Neha"/>
    <n v="5"/>
    <x v="374"/>
    <n v="826.94"/>
    <n v="218.06"/>
    <x v="140"/>
    <n v="4.5"/>
    <n v="5"/>
    <x v="0"/>
    <s v="Premium"/>
    <s v="Completed"/>
    <n v="28.61"/>
    <n v="77.2"/>
    <n v="11149"/>
    <x v="156"/>
    <n v="10243"/>
    <x v="378"/>
    <x v="2"/>
  </r>
  <r>
    <n v="1386"/>
    <s v="Starbucks Kochi"/>
    <s v="India"/>
    <x v="4"/>
    <s v="Kochi"/>
    <s v="South"/>
    <x v="130"/>
    <x v="4"/>
    <x v="2"/>
    <x v="4"/>
    <s v="Vivek"/>
    <n v="39"/>
    <x v="375"/>
    <n v="9945.1"/>
    <n v="3002.9"/>
    <x v="202"/>
    <n v="3.7"/>
    <n v="10"/>
    <x v="2"/>
    <s v="Premium"/>
    <s v="Completed"/>
    <n v="9.93"/>
    <n v="76.260000000000005"/>
    <n v="13077"/>
    <x v="377"/>
    <n v="11187"/>
    <x v="379"/>
    <x v="1"/>
  </r>
  <r>
    <n v="1387"/>
    <s v="Starbucks Chennai"/>
    <s v="India"/>
    <x v="3"/>
    <s v="Chennai"/>
    <s v="South"/>
    <x v="83"/>
    <x v="0"/>
    <x v="0"/>
    <x v="5"/>
    <s v="Asha"/>
    <n v="21"/>
    <x v="376"/>
    <n v="4509.84"/>
    <n v="2798.16"/>
    <x v="54"/>
    <n v="4.3"/>
    <n v="15"/>
    <x v="0"/>
    <s v="Regular"/>
    <s v="Refunded"/>
    <n v="13.08"/>
    <n v="80.27"/>
    <n v="8229"/>
    <x v="378"/>
    <n v="7651"/>
    <x v="380"/>
    <x v="1"/>
  </r>
  <r>
    <n v="1388"/>
    <s v="Starbucks Kochi"/>
    <s v="India"/>
    <x v="4"/>
    <s v="Kochi"/>
    <s v="South"/>
    <x v="153"/>
    <x v="5"/>
    <x v="3"/>
    <x v="6"/>
    <s v="Neha"/>
    <n v="39"/>
    <x v="377"/>
    <n v="7003.41"/>
    <n v="4072.59"/>
    <x v="179"/>
    <n v="4.3"/>
    <n v="10"/>
    <x v="2"/>
    <s v="Regular"/>
    <s v="Completed"/>
    <n v="9.93"/>
    <n v="76.260000000000005"/>
    <n v="6893"/>
    <x v="379"/>
    <n v="6324"/>
    <x v="381"/>
    <x v="0"/>
  </r>
  <r>
    <n v="1389"/>
    <s v="Starbucks New Delhi"/>
    <s v="India"/>
    <x v="1"/>
    <s v="New Delhi"/>
    <s v="North"/>
    <x v="16"/>
    <x v="0"/>
    <x v="1"/>
    <x v="8"/>
    <s v="Asha"/>
    <n v="46"/>
    <x v="378"/>
    <n v="6774.96"/>
    <n v="5415.04"/>
    <x v="125"/>
    <n v="4.9000000000000004"/>
    <n v="15"/>
    <x v="0"/>
    <s v="Premium"/>
    <s v="Completed"/>
    <n v="28.61"/>
    <n v="77.2"/>
    <n v="8976"/>
    <x v="380"/>
    <n v="7319"/>
    <x v="382"/>
    <x v="0"/>
  </r>
  <r>
    <n v="1390"/>
    <s v="Starbucks Kochi"/>
    <s v="India"/>
    <x v="4"/>
    <s v="Kochi"/>
    <s v="South"/>
    <x v="154"/>
    <x v="5"/>
    <x v="2"/>
    <x v="4"/>
    <s v="Rahul"/>
    <n v="14"/>
    <x v="379"/>
    <n v="3822.61"/>
    <n v="1931.39"/>
    <x v="155"/>
    <n v="4.4000000000000004"/>
    <n v="15"/>
    <x v="2"/>
    <s v="Premium"/>
    <s v="Refunded"/>
    <n v="9.93"/>
    <n v="76.260000000000005"/>
    <n v="7120"/>
    <x v="381"/>
    <n v="6295"/>
    <x v="383"/>
    <x v="1"/>
  </r>
  <r>
    <n v="1391"/>
    <s v="Starbucks Mumbai"/>
    <s v="India"/>
    <x v="2"/>
    <s v="Mumbai"/>
    <s v="West"/>
    <x v="65"/>
    <x v="3"/>
    <x v="2"/>
    <x v="3"/>
    <s v="Anu"/>
    <n v="19"/>
    <x v="304"/>
    <n v="2172.4499999999998"/>
    <n v="1494.55"/>
    <x v="194"/>
    <n v="4.3"/>
    <n v="15"/>
    <x v="0"/>
    <s v="Gold"/>
    <s v="Refunded"/>
    <n v="19.07"/>
    <n v="72.87"/>
    <n v="8668"/>
    <x v="382"/>
    <n v="6809"/>
    <x v="384"/>
    <x v="3"/>
  </r>
  <r>
    <n v="1392"/>
    <s v="Starbucks Kochi"/>
    <s v="India"/>
    <x v="4"/>
    <s v="Kochi"/>
    <s v="South"/>
    <x v="85"/>
    <x v="3"/>
    <x v="0"/>
    <x v="0"/>
    <s v="Asha"/>
    <n v="26"/>
    <x v="380"/>
    <n v="7306.98"/>
    <n v="2105.02"/>
    <x v="203"/>
    <n v="3.8"/>
    <n v="5"/>
    <x v="1"/>
    <s v="Regular"/>
    <s v="Refunded"/>
    <n v="9.93"/>
    <n v="76.260000000000005"/>
    <n v="12012"/>
    <x v="383"/>
    <n v="10224"/>
    <x v="385"/>
    <x v="1"/>
  </r>
  <r>
    <n v="1393"/>
    <s v="Starbucks Mumbai"/>
    <s v="India"/>
    <x v="2"/>
    <s v="Mumbai"/>
    <s v="West"/>
    <x v="138"/>
    <x v="4"/>
    <x v="0"/>
    <x v="1"/>
    <s v="Rahul"/>
    <n v="25"/>
    <x v="381"/>
    <n v="5172.4399999999996"/>
    <n v="3752.56"/>
    <x v="191"/>
    <n v="4.8"/>
    <n v="10"/>
    <x v="2"/>
    <s v="Premium"/>
    <s v="Refunded"/>
    <n v="19.07"/>
    <n v="72.87"/>
    <n v="6938"/>
    <x v="384"/>
    <n v="5107"/>
    <x v="386"/>
    <x v="2"/>
  </r>
  <r>
    <n v="1394"/>
    <s v="Starbucks Chennai"/>
    <s v="India"/>
    <x v="3"/>
    <s v="Chennai"/>
    <s v="South"/>
    <x v="102"/>
    <x v="4"/>
    <x v="2"/>
    <x v="3"/>
    <s v="Neha"/>
    <n v="14"/>
    <x v="382"/>
    <n v="2198.02"/>
    <n v="1665.98"/>
    <x v="166"/>
    <n v="4.5"/>
    <n v="0"/>
    <x v="1"/>
    <s v="Regular"/>
    <s v="Completed"/>
    <n v="13.08"/>
    <n v="80.27"/>
    <n v="12023"/>
    <x v="385"/>
    <n v="10771"/>
    <x v="387"/>
    <x v="3"/>
  </r>
  <r>
    <n v="1395"/>
    <s v="Starbucks Mumbai"/>
    <s v="India"/>
    <x v="2"/>
    <s v="Mumbai"/>
    <s v="West"/>
    <x v="96"/>
    <x v="1"/>
    <x v="1"/>
    <x v="8"/>
    <s v="Asha"/>
    <n v="12"/>
    <x v="383"/>
    <n v="3000.18"/>
    <n v="1115.82"/>
    <x v="136"/>
    <n v="4.0999999999999996"/>
    <n v="5"/>
    <x v="1"/>
    <s v="Premium"/>
    <s v="Cancelled"/>
    <n v="19.07"/>
    <n v="72.87"/>
    <n v="8064"/>
    <x v="386"/>
    <n v="6948"/>
    <x v="388"/>
    <x v="2"/>
  </r>
  <r>
    <n v="1396"/>
    <s v="Starbucks Chennai"/>
    <s v="India"/>
    <x v="3"/>
    <s v="Chennai"/>
    <s v="South"/>
    <x v="11"/>
    <x v="0"/>
    <x v="2"/>
    <x v="4"/>
    <s v="Neha"/>
    <n v="27"/>
    <x v="384"/>
    <n v="6551.57"/>
    <n v="1791.43"/>
    <x v="204"/>
    <n v="3.8"/>
    <n v="10"/>
    <x v="2"/>
    <s v="Regular"/>
    <s v="Completed"/>
    <n v="13.08"/>
    <n v="80.27"/>
    <n v="5164"/>
    <x v="387"/>
    <n v="4255"/>
    <x v="389"/>
    <x v="1"/>
  </r>
  <r>
    <n v="1397"/>
    <s v="Starbucks Mumbai"/>
    <s v="India"/>
    <x v="2"/>
    <s v="Mumbai"/>
    <s v="West"/>
    <x v="28"/>
    <x v="2"/>
    <x v="2"/>
    <x v="3"/>
    <s v="Neha"/>
    <n v="20"/>
    <x v="385"/>
    <n v="5863.08"/>
    <n v="1656.92"/>
    <x v="186"/>
    <n v="4.8"/>
    <n v="10"/>
    <x v="0"/>
    <s v="Premium"/>
    <s v="Cancelled"/>
    <n v="19.07"/>
    <n v="72.87"/>
    <n v="8085"/>
    <x v="98"/>
    <n v="7162"/>
    <x v="390"/>
    <x v="3"/>
  </r>
  <r>
    <n v="1398"/>
    <s v="Starbucks Kochi"/>
    <s v="India"/>
    <x v="4"/>
    <s v="Kochi"/>
    <s v="South"/>
    <x v="135"/>
    <x v="0"/>
    <x v="2"/>
    <x v="4"/>
    <s v="Asha"/>
    <n v="58"/>
    <x v="386"/>
    <n v="15440.57"/>
    <n v="7179.43"/>
    <x v="145"/>
    <n v="3.8"/>
    <n v="10"/>
    <x v="1"/>
    <s v="Gold"/>
    <s v="Cancelled"/>
    <n v="9.93"/>
    <n v="76.260000000000005"/>
    <n v="8571"/>
    <x v="388"/>
    <n v="7684"/>
    <x v="391"/>
    <x v="1"/>
  </r>
  <r>
    <n v="1399"/>
    <s v="Starbucks Mumbai"/>
    <s v="India"/>
    <x v="2"/>
    <s v="Mumbai"/>
    <s v="West"/>
    <x v="40"/>
    <x v="3"/>
    <x v="0"/>
    <x v="1"/>
    <s v="Asha"/>
    <n v="52"/>
    <x v="387"/>
    <n v="16164.45"/>
    <n v="4271.55"/>
    <x v="205"/>
    <n v="4.4000000000000004"/>
    <n v="15"/>
    <x v="2"/>
    <s v="Regular"/>
    <s v="Cancelled"/>
    <n v="19.07"/>
    <n v="72.87"/>
    <n v="11121"/>
    <x v="389"/>
    <n v="9446"/>
    <x v="392"/>
    <x v="2"/>
  </r>
  <r>
    <n v="1400"/>
    <s v="Starbucks Bengaluru"/>
    <s v="India"/>
    <x v="0"/>
    <s v="Bengaluru"/>
    <s v="South"/>
    <x v="42"/>
    <x v="3"/>
    <x v="0"/>
    <x v="1"/>
    <s v="Rahul"/>
    <n v="7"/>
    <x v="388"/>
    <n v="2308.63"/>
    <n v="582.37"/>
    <x v="119"/>
    <n v="3.7"/>
    <n v="10"/>
    <x v="0"/>
    <s v="Regular"/>
    <s v="Cancelled"/>
    <n v="12.97"/>
    <n v="77.59"/>
    <n v="12221"/>
    <x v="390"/>
    <n v="10595"/>
    <x v="393"/>
    <x v="3"/>
  </r>
  <r>
    <n v="1401"/>
    <s v="Starbucks Chennai"/>
    <s v="India"/>
    <x v="3"/>
    <s v="Chennai"/>
    <s v="South"/>
    <x v="144"/>
    <x v="5"/>
    <x v="2"/>
    <x v="4"/>
    <s v="Neha"/>
    <n v="14"/>
    <x v="389"/>
    <n v="2729.47"/>
    <n v="1344.53"/>
    <x v="80"/>
    <n v="4"/>
    <n v="5"/>
    <x v="0"/>
    <s v="Gold"/>
    <s v="Refunded"/>
    <n v="13.08"/>
    <n v="80.27"/>
    <n v="10856"/>
    <x v="391"/>
    <n v="9638"/>
    <x v="394"/>
    <x v="3"/>
  </r>
  <r>
    <n v="1402"/>
    <s v="Starbucks Bengaluru"/>
    <s v="India"/>
    <x v="0"/>
    <s v="Bengaluru"/>
    <s v="South"/>
    <x v="147"/>
    <x v="2"/>
    <x v="1"/>
    <x v="2"/>
    <s v="Anu"/>
    <n v="55"/>
    <x v="390"/>
    <n v="9659.59"/>
    <n v="3320.41"/>
    <x v="206"/>
    <n v="4.4000000000000004"/>
    <n v="10"/>
    <x v="0"/>
    <s v="Regular"/>
    <s v="Refunded"/>
    <n v="12.97"/>
    <n v="77.59"/>
    <n v="13920"/>
    <x v="392"/>
    <n v="12037"/>
    <x v="395"/>
    <x v="0"/>
  </r>
  <r>
    <n v="1403"/>
    <s v="Starbucks Kochi"/>
    <s v="India"/>
    <x v="4"/>
    <s v="Kochi"/>
    <s v="South"/>
    <x v="51"/>
    <x v="2"/>
    <x v="3"/>
    <x v="7"/>
    <s v="Neha"/>
    <n v="32"/>
    <x v="391"/>
    <n v="6184.92"/>
    <n v="1751.08"/>
    <x v="100"/>
    <n v="3.5"/>
    <n v="5"/>
    <x v="2"/>
    <s v="Regular"/>
    <s v="Refunded"/>
    <n v="9.93"/>
    <n v="76.260000000000005"/>
    <n v="9770"/>
    <x v="393"/>
    <n v="8453"/>
    <x v="205"/>
    <x v="2"/>
  </r>
  <r>
    <n v="1404"/>
    <s v="Starbucks Kochi"/>
    <s v="India"/>
    <x v="4"/>
    <s v="Kochi"/>
    <s v="South"/>
    <x v="3"/>
    <x v="1"/>
    <x v="0"/>
    <x v="1"/>
    <s v="Vivek"/>
    <n v="30"/>
    <x v="392"/>
    <n v="5242.59"/>
    <n v="3007.41"/>
    <x v="207"/>
    <n v="3.5"/>
    <n v="15"/>
    <x v="2"/>
    <s v="Regular"/>
    <s v="Cancelled"/>
    <n v="9.93"/>
    <n v="76.260000000000005"/>
    <n v="5507"/>
    <x v="394"/>
    <n v="4976"/>
    <x v="396"/>
    <x v="2"/>
  </r>
  <r>
    <n v="1405"/>
    <s v="Starbucks New Delhi"/>
    <s v="India"/>
    <x v="1"/>
    <s v="New Delhi"/>
    <s v="North"/>
    <x v="87"/>
    <x v="4"/>
    <x v="3"/>
    <x v="7"/>
    <s v="Vivek"/>
    <n v="47"/>
    <x v="393"/>
    <n v="7990.94"/>
    <n v="3571.06"/>
    <x v="38"/>
    <n v="3.6"/>
    <n v="0"/>
    <x v="1"/>
    <s v="Regular"/>
    <s v="Cancelled"/>
    <n v="28.61"/>
    <n v="77.2"/>
    <n v="6848"/>
    <x v="395"/>
    <n v="5453"/>
    <x v="397"/>
    <x v="1"/>
  </r>
  <r>
    <n v="1406"/>
    <s v="Starbucks New Delhi"/>
    <s v="India"/>
    <x v="1"/>
    <s v="New Delhi"/>
    <s v="North"/>
    <x v="26"/>
    <x v="0"/>
    <x v="0"/>
    <x v="1"/>
    <s v="Rahul"/>
    <n v="54"/>
    <x v="394"/>
    <n v="13543.19"/>
    <n v="6868.81"/>
    <x v="208"/>
    <n v="4.2"/>
    <n v="5"/>
    <x v="0"/>
    <s v="Gold"/>
    <s v="Refunded"/>
    <n v="28.61"/>
    <n v="77.2"/>
    <n v="13825"/>
    <x v="396"/>
    <n v="12736"/>
    <x v="398"/>
    <x v="1"/>
  </r>
  <r>
    <n v="1407"/>
    <s v="Starbucks Bengaluru"/>
    <s v="India"/>
    <x v="0"/>
    <s v="Bengaluru"/>
    <s v="South"/>
    <x v="106"/>
    <x v="1"/>
    <x v="1"/>
    <x v="8"/>
    <s v="Vivek"/>
    <n v="54"/>
    <x v="395"/>
    <n v="12646.13"/>
    <n v="9655.8700000000008"/>
    <x v="151"/>
    <n v="4.3"/>
    <n v="15"/>
    <x v="1"/>
    <s v="Regular"/>
    <s v="Cancelled"/>
    <n v="12.97"/>
    <n v="77.59"/>
    <n v="10396"/>
    <x v="397"/>
    <n v="9225"/>
    <x v="399"/>
    <x v="3"/>
  </r>
  <r>
    <n v="1408"/>
    <s v="Starbucks Mumbai"/>
    <s v="India"/>
    <x v="2"/>
    <s v="Mumbai"/>
    <s v="West"/>
    <x v="72"/>
    <x v="1"/>
    <x v="2"/>
    <x v="3"/>
    <s v="Neha"/>
    <n v="49"/>
    <x v="396"/>
    <n v="6221.06"/>
    <n v="2745.94"/>
    <x v="146"/>
    <n v="3.6"/>
    <n v="15"/>
    <x v="1"/>
    <s v="Gold"/>
    <s v="Refunded"/>
    <n v="19.07"/>
    <n v="72.87"/>
    <n v="6747"/>
    <x v="398"/>
    <n v="4858"/>
    <x v="400"/>
    <x v="2"/>
  </r>
  <r>
    <n v="1409"/>
    <s v="Starbucks New Delhi"/>
    <s v="India"/>
    <x v="1"/>
    <s v="New Delhi"/>
    <s v="North"/>
    <x v="155"/>
    <x v="4"/>
    <x v="3"/>
    <x v="6"/>
    <s v="Asha"/>
    <n v="12"/>
    <x v="397"/>
    <n v="2243.23"/>
    <n v="1068.77"/>
    <x v="209"/>
    <n v="3.7"/>
    <n v="5"/>
    <x v="0"/>
    <s v="Gold"/>
    <s v="Cancelled"/>
    <n v="28.61"/>
    <n v="77.2"/>
    <n v="13268"/>
    <x v="399"/>
    <n v="11521"/>
    <x v="401"/>
    <x v="0"/>
  </r>
  <r>
    <n v="1410"/>
    <s v="Starbucks Chennai"/>
    <s v="India"/>
    <x v="3"/>
    <s v="Chennai"/>
    <s v="South"/>
    <x v="124"/>
    <x v="3"/>
    <x v="1"/>
    <x v="8"/>
    <s v="Asha"/>
    <n v="8"/>
    <x v="398"/>
    <n v="1898.29"/>
    <n v="1309.71"/>
    <x v="210"/>
    <n v="3.7"/>
    <n v="15"/>
    <x v="2"/>
    <s v="Premium"/>
    <s v="Refunded"/>
    <n v="13.08"/>
    <n v="80.27"/>
    <n v="9175"/>
    <x v="400"/>
    <n v="8346"/>
    <x v="402"/>
    <x v="1"/>
  </r>
  <r>
    <n v="1411"/>
    <s v="Starbucks Kochi"/>
    <s v="India"/>
    <x v="4"/>
    <s v="Kochi"/>
    <s v="South"/>
    <x v="87"/>
    <x v="4"/>
    <x v="1"/>
    <x v="2"/>
    <s v="Asha"/>
    <n v="36"/>
    <x v="399"/>
    <n v="5276.78"/>
    <n v="3903.22"/>
    <x v="154"/>
    <n v="3.7"/>
    <n v="15"/>
    <x v="0"/>
    <s v="Premium"/>
    <s v="Cancelled"/>
    <n v="9.93"/>
    <n v="76.260000000000005"/>
    <n v="8284"/>
    <x v="401"/>
    <n v="6741"/>
    <x v="403"/>
    <x v="1"/>
  </r>
  <r>
    <n v="1412"/>
    <s v="Starbucks Kochi"/>
    <s v="India"/>
    <x v="4"/>
    <s v="Kochi"/>
    <s v="South"/>
    <x v="150"/>
    <x v="1"/>
    <x v="2"/>
    <x v="3"/>
    <s v="Rahul"/>
    <n v="20"/>
    <x v="400"/>
    <n v="4838.67"/>
    <n v="1541.33"/>
    <x v="78"/>
    <n v="4.5999999999999996"/>
    <n v="0"/>
    <x v="0"/>
    <s v="Premium"/>
    <s v="Refunded"/>
    <n v="9.93"/>
    <n v="76.260000000000005"/>
    <n v="14577"/>
    <x v="402"/>
    <n v="13183"/>
    <x v="404"/>
    <x v="0"/>
  </r>
  <r>
    <n v="1413"/>
    <s v="Starbucks Bengaluru"/>
    <s v="India"/>
    <x v="0"/>
    <s v="Bengaluru"/>
    <s v="South"/>
    <x v="38"/>
    <x v="5"/>
    <x v="0"/>
    <x v="5"/>
    <s v="Rahul"/>
    <n v="33"/>
    <x v="401"/>
    <n v="5950.07"/>
    <n v="3058.93"/>
    <x v="211"/>
    <n v="3.7"/>
    <n v="10"/>
    <x v="0"/>
    <s v="Premium"/>
    <s v="Refunded"/>
    <n v="12.97"/>
    <n v="77.59"/>
    <n v="10429"/>
    <x v="403"/>
    <n v="8677"/>
    <x v="405"/>
    <x v="2"/>
  </r>
  <r>
    <n v="1414"/>
    <s v="Starbucks Mumbai"/>
    <s v="India"/>
    <x v="2"/>
    <s v="Mumbai"/>
    <s v="West"/>
    <x v="23"/>
    <x v="0"/>
    <x v="0"/>
    <x v="5"/>
    <s v="Asha"/>
    <n v="32"/>
    <x v="402"/>
    <n v="5395.14"/>
    <n v="1484.86"/>
    <x v="175"/>
    <n v="4.8"/>
    <n v="0"/>
    <x v="0"/>
    <s v="Gold"/>
    <s v="Cancelled"/>
    <n v="19.07"/>
    <n v="72.87"/>
    <n v="9527"/>
    <x v="404"/>
    <n v="8931"/>
    <x v="406"/>
    <x v="3"/>
  </r>
  <r>
    <n v="1415"/>
    <s v="Starbucks New Delhi"/>
    <s v="India"/>
    <x v="1"/>
    <s v="New Delhi"/>
    <s v="North"/>
    <x v="108"/>
    <x v="4"/>
    <x v="1"/>
    <x v="2"/>
    <s v="Anu"/>
    <n v="5"/>
    <x v="403"/>
    <n v="1188.76"/>
    <n v="806.24"/>
    <x v="115"/>
    <n v="4.7"/>
    <n v="10"/>
    <x v="0"/>
    <s v="Gold"/>
    <s v="Completed"/>
    <n v="28.61"/>
    <n v="77.2"/>
    <n v="11522"/>
    <x v="405"/>
    <n v="10128"/>
    <x v="407"/>
    <x v="2"/>
  </r>
  <r>
    <n v="1416"/>
    <s v="Starbucks New Delhi"/>
    <s v="India"/>
    <x v="1"/>
    <s v="New Delhi"/>
    <s v="North"/>
    <x v="129"/>
    <x v="1"/>
    <x v="0"/>
    <x v="0"/>
    <s v="Neha"/>
    <n v="59"/>
    <x v="404"/>
    <n v="14190.98"/>
    <n v="3804.02"/>
    <x v="166"/>
    <n v="3.7"/>
    <n v="0"/>
    <x v="0"/>
    <s v="Regular"/>
    <s v="Refunded"/>
    <n v="28.61"/>
    <n v="77.2"/>
    <n v="10486"/>
    <x v="406"/>
    <n v="9571"/>
    <x v="408"/>
    <x v="3"/>
  </r>
  <r>
    <n v="1417"/>
    <s v="Starbucks Bengaluru"/>
    <s v="India"/>
    <x v="0"/>
    <s v="Bengaluru"/>
    <s v="South"/>
    <x v="116"/>
    <x v="4"/>
    <x v="2"/>
    <x v="4"/>
    <s v="Neha"/>
    <n v="44"/>
    <x v="405"/>
    <n v="10374.5"/>
    <n v="3133.5"/>
    <x v="42"/>
    <n v="4.0999999999999996"/>
    <n v="0"/>
    <x v="0"/>
    <s v="Premium"/>
    <s v="Completed"/>
    <n v="12.97"/>
    <n v="77.59"/>
    <n v="12883"/>
    <x v="407"/>
    <n v="11726"/>
    <x v="409"/>
    <x v="2"/>
  </r>
  <r>
    <n v="1418"/>
    <s v="Starbucks Kochi"/>
    <s v="India"/>
    <x v="4"/>
    <s v="Kochi"/>
    <s v="South"/>
    <x v="55"/>
    <x v="5"/>
    <x v="2"/>
    <x v="3"/>
    <s v="Rahul"/>
    <n v="29"/>
    <x v="406"/>
    <n v="5526.16"/>
    <n v="3695.84"/>
    <x v="54"/>
    <n v="4.0999999999999996"/>
    <n v="15"/>
    <x v="0"/>
    <s v="Premium"/>
    <s v="Completed"/>
    <n v="9.93"/>
    <n v="76.260000000000005"/>
    <n v="5214"/>
    <x v="408"/>
    <n v="3710"/>
    <x v="410"/>
    <x v="0"/>
  </r>
  <r>
    <n v="1419"/>
    <s v="Starbucks Mumbai"/>
    <s v="India"/>
    <x v="2"/>
    <s v="Mumbai"/>
    <s v="West"/>
    <x v="66"/>
    <x v="3"/>
    <x v="2"/>
    <x v="3"/>
    <s v="Neha"/>
    <n v="19"/>
    <x v="407"/>
    <n v="4472.34"/>
    <n v="3488.66"/>
    <x v="88"/>
    <n v="4.8"/>
    <n v="10"/>
    <x v="0"/>
    <s v="Premium"/>
    <s v="Refunded"/>
    <n v="19.07"/>
    <n v="72.87"/>
    <n v="11926"/>
    <x v="409"/>
    <n v="11279"/>
    <x v="411"/>
    <x v="2"/>
  </r>
  <r>
    <n v="1420"/>
    <s v="Starbucks Mumbai"/>
    <s v="India"/>
    <x v="2"/>
    <s v="Mumbai"/>
    <s v="West"/>
    <x v="142"/>
    <x v="5"/>
    <x v="0"/>
    <x v="1"/>
    <s v="Rahul"/>
    <n v="12"/>
    <x v="408"/>
    <n v="1473.13"/>
    <n v="1022.87"/>
    <x v="212"/>
    <n v="4.7"/>
    <n v="5"/>
    <x v="2"/>
    <s v="Premium"/>
    <s v="Completed"/>
    <n v="19.07"/>
    <n v="72.87"/>
    <n v="13920"/>
    <x v="410"/>
    <n v="12234"/>
    <x v="412"/>
    <x v="2"/>
  </r>
  <r>
    <n v="1421"/>
    <s v="Starbucks Chennai"/>
    <s v="India"/>
    <x v="3"/>
    <s v="Chennai"/>
    <s v="South"/>
    <x v="47"/>
    <x v="2"/>
    <x v="2"/>
    <x v="3"/>
    <s v="Neha"/>
    <n v="37"/>
    <x v="313"/>
    <n v="5066.05"/>
    <n v="3998.95"/>
    <x v="89"/>
    <n v="3.9"/>
    <n v="10"/>
    <x v="1"/>
    <s v="Premium"/>
    <s v="Cancelled"/>
    <n v="13.08"/>
    <n v="80.27"/>
    <n v="6873"/>
    <x v="411"/>
    <n v="5885"/>
    <x v="413"/>
    <x v="0"/>
  </r>
  <r>
    <n v="1422"/>
    <s v="Starbucks Chennai"/>
    <s v="India"/>
    <x v="3"/>
    <s v="Chennai"/>
    <s v="South"/>
    <x v="95"/>
    <x v="2"/>
    <x v="3"/>
    <x v="6"/>
    <s v="Neha"/>
    <n v="39"/>
    <x v="245"/>
    <n v="9777.1299999999992"/>
    <n v="5744.87"/>
    <x v="43"/>
    <n v="4.3"/>
    <n v="15"/>
    <x v="0"/>
    <s v="Gold"/>
    <s v="Completed"/>
    <n v="13.08"/>
    <n v="80.27"/>
    <n v="9145"/>
    <x v="412"/>
    <n v="7929"/>
    <x v="414"/>
    <x v="2"/>
  </r>
  <r>
    <n v="1423"/>
    <s v="Starbucks Chennai"/>
    <s v="India"/>
    <x v="3"/>
    <s v="Chennai"/>
    <s v="South"/>
    <x v="137"/>
    <x v="2"/>
    <x v="1"/>
    <x v="2"/>
    <s v="Asha"/>
    <n v="14"/>
    <x v="409"/>
    <n v="1922.25"/>
    <n v="1269.75"/>
    <x v="213"/>
    <n v="4.8"/>
    <n v="15"/>
    <x v="1"/>
    <s v="Gold"/>
    <s v="Completed"/>
    <n v="13.08"/>
    <n v="80.27"/>
    <n v="7466"/>
    <x v="413"/>
    <n v="5977"/>
    <x v="415"/>
    <x v="3"/>
  </r>
  <r>
    <n v="1424"/>
    <s v="Starbucks Chennai"/>
    <s v="India"/>
    <x v="3"/>
    <s v="Chennai"/>
    <s v="South"/>
    <x v="129"/>
    <x v="1"/>
    <x v="0"/>
    <x v="1"/>
    <s v="Asha"/>
    <n v="44"/>
    <x v="410"/>
    <n v="11433.41"/>
    <n v="6166.59"/>
    <x v="172"/>
    <n v="4.8"/>
    <n v="10"/>
    <x v="0"/>
    <s v="Regular"/>
    <s v="Completed"/>
    <n v="13.08"/>
    <n v="80.27"/>
    <n v="12540"/>
    <x v="414"/>
    <n v="11554"/>
    <x v="416"/>
    <x v="2"/>
  </r>
  <r>
    <n v="1425"/>
    <s v="Starbucks Chennai"/>
    <s v="India"/>
    <x v="3"/>
    <s v="Chennai"/>
    <s v="South"/>
    <x v="156"/>
    <x v="3"/>
    <x v="1"/>
    <x v="2"/>
    <s v="Neha"/>
    <n v="5"/>
    <x v="411"/>
    <n v="891.34"/>
    <n v="488.66"/>
    <x v="212"/>
    <n v="4.8"/>
    <n v="0"/>
    <x v="2"/>
    <s v="Gold"/>
    <s v="Refunded"/>
    <n v="13.08"/>
    <n v="80.27"/>
    <n v="14737"/>
    <x v="415"/>
    <n v="12894"/>
    <x v="417"/>
    <x v="0"/>
  </r>
  <r>
    <n v="1426"/>
    <s v="Starbucks New Delhi"/>
    <s v="India"/>
    <x v="1"/>
    <s v="New Delhi"/>
    <s v="North"/>
    <x v="40"/>
    <x v="3"/>
    <x v="2"/>
    <x v="3"/>
    <s v="Vivek"/>
    <n v="9"/>
    <x v="412"/>
    <n v="1588.14"/>
    <n v="1003.86"/>
    <x v="192"/>
    <n v="3.5"/>
    <n v="15"/>
    <x v="0"/>
    <s v="Gold"/>
    <s v="Completed"/>
    <n v="28.61"/>
    <n v="77.2"/>
    <n v="13721"/>
    <x v="416"/>
    <n v="12740"/>
    <x v="418"/>
    <x v="1"/>
  </r>
  <r>
    <n v="1427"/>
    <s v="Starbucks Mumbai"/>
    <s v="India"/>
    <x v="2"/>
    <s v="Mumbai"/>
    <s v="West"/>
    <x v="18"/>
    <x v="1"/>
    <x v="1"/>
    <x v="8"/>
    <s v="Neha"/>
    <n v="44"/>
    <x v="413"/>
    <n v="11536.15"/>
    <n v="6019.85"/>
    <x v="25"/>
    <n v="4.4000000000000004"/>
    <n v="10"/>
    <x v="2"/>
    <s v="Regular"/>
    <s v="Completed"/>
    <n v="19.07"/>
    <n v="72.87"/>
    <n v="5704"/>
    <x v="417"/>
    <n v="4701"/>
    <x v="419"/>
    <x v="2"/>
  </r>
  <r>
    <n v="1428"/>
    <s v="Starbucks Mumbai"/>
    <s v="India"/>
    <x v="2"/>
    <s v="Mumbai"/>
    <s v="West"/>
    <x v="125"/>
    <x v="1"/>
    <x v="3"/>
    <x v="7"/>
    <s v="Neha"/>
    <n v="5"/>
    <x v="414"/>
    <n v="1461.3"/>
    <n v="523.70000000000005"/>
    <x v="13"/>
    <n v="4.0999999999999996"/>
    <n v="0"/>
    <x v="0"/>
    <s v="Gold"/>
    <s v="Refunded"/>
    <n v="19.07"/>
    <n v="72.87"/>
    <n v="10887"/>
    <x v="418"/>
    <n v="9842"/>
    <x v="420"/>
    <x v="3"/>
  </r>
  <r>
    <n v="1429"/>
    <s v="Starbucks Mumbai"/>
    <s v="India"/>
    <x v="2"/>
    <s v="Mumbai"/>
    <s v="West"/>
    <x v="27"/>
    <x v="1"/>
    <x v="1"/>
    <x v="2"/>
    <s v="Rahul"/>
    <n v="17"/>
    <x v="415"/>
    <n v="3464.32"/>
    <n v="2060.6799999999998"/>
    <x v="14"/>
    <n v="4.3"/>
    <n v="10"/>
    <x v="2"/>
    <s v="Regular"/>
    <s v="Cancelled"/>
    <n v="19.07"/>
    <n v="72.87"/>
    <n v="5241"/>
    <x v="419"/>
    <n v="3919"/>
    <x v="421"/>
    <x v="3"/>
  </r>
  <r>
    <n v="1430"/>
    <s v="Starbucks Bengaluru"/>
    <s v="India"/>
    <x v="0"/>
    <s v="Bengaluru"/>
    <s v="South"/>
    <x v="49"/>
    <x v="5"/>
    <x v="2"/>
    <x v="3"/>
    <s v="Asha"/>
    <n v="58"/>
    <x v="416"/>
    <n v="10717.59"/>
    <n v="6914.41"/>
    <x v="77"/>
    <n v="5"/>
    <n v="5"/>
    <x v="2"/>
    <s v="Premium"/>
    <s v="Completed"/>
    <n v="12.97"/>
    <n v="77.59"/>
    <n v="12230"/>
    <x v="420"/>
    <n v="11461"/>
    <x v="422"/>
    <x v="3"/>
  </r>
  <r>
    <n v="1431"/>
    <s v="Starbucks Mumbai"/>
    <s v="India"/>
    <x v="2"/>
    <s v="Mumbai"/>
    <s v="West"/>
    <x v="73"/>
    <x v="5"/>
    <x v="3"/>
    <x v="6"/>
    <s v="Vivek"/>
    <n v="36"/>
    <x v="417"/>
    <n v="6874.43"/>
    <n v="3493.57"/>
    <x v="121"/>
    <n v="3.9"/>
    <n v="15"/>
    <x v="2"/>
    <s v="Gold"/>
    <s v="Completed"/>
    <n v="19.07"/>
    <n v="72.87"/>
    <n v="11685"/>
    <x v="421"/>
    <n v="9730"/>
    <x v="423"/>
    <x v="3"/>
  </r>
  <r>
    <n v="1432"/>
    <s v="Starbucks Bengaluru"/>
    <s v="India"/>
    <x v="0"/>
    <s v="Bengaluru"/>
    <s v="South"/>
    <x v="29"/>
    <x v="2"/>
    <x v="0"/>
    <x v="0"/>
    <s v="Rahul"/>
    <n v="25"/>
    <x v="418"/>
    <n v="4348.75"/>
    <n v="1551.25"/>
    <x v="49"/>
    <n v="4.4000000000000004"/>
    <n v="5"/>
    <x v="1"/>
    <s v="Regular"/>
    <s v="Refunded"/>
    <n v="12.97"/>
    <n v="77.59"/>
    <n v="13314"/>
    <x v="422"/>
    <n v="12233"/>
    <x v="424"/>
    <x v="1"/>
  </r>
  <r>
    <n v="1433"/>
    <s v="Starbucks Chennai"/>
    <s v="India"/>
    <x v="3"/>
    <s v="Chennai"/>
    <s v="South"/>
    <x v="154"/>
    <x v="5"/>
    <x v="3"/>
    <x v="6"/>
    <s v="Asha"/>
    <n v="33"/>
    <x v="208"/>
    <n v="7366.43"/>
    <n v="5503.57"/>
    <x v="36"/>
    <n v="3.7"/>
    <n v="15"/>
    <x v="1"/>
    <s v="Premium"/>
    <s v="Completed"/>
    <n v="13.08"/>
    <n v="80.27"/>
    <n v="9070"/>
    <x v="423"/>
    <n v="7763"/>
    <x v="425"/>
    <x v="3"/>
  </r>
  <r>
    <n v="1434"/>
    <s v="Starbucks Bengaluru"/>
    <s v="India"/>
    <x v="0"/>
    <s v="Bengaluru"/>
    <s v="South"/>
    <x v="48"/>
    <x v="3"/>
    <x v="2"/>
    <x v="4"/>
    <s v="Asha"/>
    <n v="7"/>
    <x v="419"/>
    <n v="1658.61"/>
    <n v="1078.3900000000001"/>
    <x v="176"/>
    <n v="3.6"/>
    <n v="10"/>
    <x v="0"/>
    <s v="Regular"/>
    <s v="Refunded"/>
    <n v="12.97"/>
    <n v="77.59"/>
    <n v="8848"/>
    <x v="424"/>
    <n v="8009"/>
    <x v="426"/>
    <x v="3"/>
  </r>
  <r>
    <n v="1435"/>
    <s v="Starbucks New Delhi"/>
    <s v="India"/>
    <x v="1"/>
    <s v="New Delhi"/>
    <s v="North"/>
    <x v="70"/>
    <x v="3"/>
    <x v="1"/>
    <x v="8"/>
    <s v="Vivek"/>
    <n v="18"/>
    <x v="420"/>
    <n v="3038.04"/>
    <n v="2109.96"/>
    <x v="72"/>
    <n v="4.9000000000000004"/>
    <n v="5"/>
    <x v="1"/>
    <s v="Regular"/>
    <s v="Refunded"/>
    <n v="28.61"/>
    <n v="77.2"/>
    <n v="7388"/>
    <x v="425"/>
    <n v="5838"/>
    <x v="427"/>
    <x v="2"/>
  </r>
  <r>
    <n v="1436"/>
    <s v="Starbucks Mumbai"/>
    <s v="India"/>
    <x v="2"/>
    <s v="Mumbai"/>
    <s v="West"/>
    <x v="134"/>
    <x v="4"/>
    <x v="0"/>
    <x v="1"/>
    <s v="Vivek"/>
    <n v="47"/>
    <x v="421"/>
    <n v="8518.65"/>
    <n v="4359.3500000000004"/>
    <x v="50"/>
    <n v="3.8"/>
    <n v="5"/>
    <x v="2"/>
    <s v="Gold"/>
    <s v="Refunded"/>
    <n v="19.07"/>
    <n v="72.87"/>
    <n v="8384"/>
    <x v="426"/>
    <n v="6623"/>
    <x v="428"/>
    <x v="3"/>
  </r>
  <r>
    <n v="1437"/>
    <s v="Starbucks Chennai"/>
    <s v="India"/>
    <x v="3"/>
    <s v="Chennai"/>
    <s v="South"/>
    <x v="104"/>
    <x v="2"/>
    <x v="2"/>
    <x v="3"/>
    <s v="Asha"/>
    <n v="15"/>
    <x v="360"/>
    <n v="3110.09"/>
    <n v="2304.91"/>
    <x v="214"/>
    <n v="4.2"/>
    <n v="15"/>
    <x v="0"/>
    <s v="Premium"/>
    <s v="Completed"/>
    <n v="13.08"/>
    <n v="80.27"/>
    <n v="6381"/>
    <x v="427"/>
    <n v="5053"/>
    <x v="429"/>
    <x v="2"/>
  </r>
  <r>
    <n v="1438"/>
    <s v="Starbucks New Delhi"/>
    <s v="India"/>
    <x v="1"/>
    <s v="New Delhi"/>
    <s v="North"/>
    <x v="113"/>
    <x v="0"/>
    <x v="3"/>
    <x v="7"/>
    <s v="Rahul"/>
    <n v="32"/>
    <x v="422"/>
    <n v="6605.97"/>
    <n v="4850.03"/>
    <x v="179"/>
    <n v="4.2"/>
    <n v="15"/>
    <x v="1"/>
    <s v="Premium"/>
    <s v="Refunded"/>
    <n v="28.61"/>
    <n v="77.2"/>
    <n v="10901"/>
    <x v="428"/>
    <n v="9826"/>
    <x v="430"/>
    <x v="1"/>
  </r>
  <r>
    <n v="1439"/>
    <s v="Starbucks Bengaluru"/>
    <s v="India"/>
    <x v="0"/>
    <s v="Bengaluru"/>
    <s v="South"/>
    <x v="121"/>
    <x v="1"/>
    <x v="1"/>
    <x v="8"/>
    <s v="Neha"/>
    <n v="51"/>
    <x v="423"/>
    <n v="9750.6299999999992"/>
    <n v="5600.37"/>
    <x v="116"/>
    <n v="4.7"/>
    <n v="0"/>
    <x v="2"/>
    <s v="Regular"/>
    <s v="Refunded"/>
    <n v="12.97"/>
    <n v="77.59"/>
    <n v="11709"/>
    <x v="429"/>
    <n v="10652"/>
    <x v="431"/>
    <x v="3"/>
  </r>
  <r>
    <n v="1440"/>
    <s v="Starbucks Mumbai"/>
    <s v="India"/>
    <x v="2"/>
    <s v="Mumbai"/>
    <s v="West"/>
    <x v="73"/>
    <x v="5"/>
    <x v="3"/>
    <x v="7"/>
    <s v="Anu"/>
    <n v="7"/>
    <x v="424"/>
    <n v="1922.93"/>
    <n v="1010.07"/>
    <x v="141"/>
    <n v="3.9"/>
    <n v="10"/>
    <x v="1"/>
    <s v="Premium"/>
    <s v="Refunded"/>
    <n v="19.07"/>
    <n v="72.87"/>
    <n v="10924"/>
    <x v="430"/>
    <n v="9634"/>
    <x v="432"/>
    <x v="3"/>
  </r>
  <r>
    <n v="1441"/>
    <s v="Starbucks Bengaluru"/>
    <s v="India"/>
    <x v="0"/>
    <s v="Bengaluru"/>
    <s v="South"/>
    <x v="82"/>
    <x v="3"/>
    <x v="2"/>
    <x v="3"/>
    <s v="Rahul"/>
    <n v="33"/>
    <x v="425"/>
    <n v="6022.8"/>
    <n v="2656.2"/>
    <x v="187"/>
    <n v="4.0999999999999996"/>
    <n v="10"/>
    <x v="2"/>
    <s v="Gold"/>
    <s v="Completed"/>
    <n v="12.97"/>
    <n v="77.59"/>
    <n v="12411"/>
    <x v="368"/>
    <n v="11825"/>
    <x v="433"/>
    <x v="1"/>
  </r>
  <r>
    <n v="1442"/>
    <s v="Starbucks New Delhi"/>
    <s v="India"/>
    <x v="1"/>
    <s v="New Delhi"/>
    <s v="North"/>
    <x v="122"/>
    <x v="5"/>
    <x v="1"/>
    <x v="2"/>
    <s v="Asha"/>
    <n v="20"/>
    <x v="426"/>
    <n v="2502.44"/>
    <n v="1417.56"/>
    <x v="142"/>
    <n v="4.5999999999999996"/>
    <n v="0"/>
    <x v="0"/>
    <s v="Gold"/>
    <s v="Cancelled"/>
    <n v="28.61"/>
    <n v="77.2"/>
    <n v="14336"/>
    <x v="431"/>
    <n v="12677"/>
    <x v="434"/>
    <x v="3"/>
  </r>
  <r>
    <n v="1443"/>
    <s v="Starbucks Mumbai"/>
    <s v="India"/>
    <x v="2"/>
    <s v="Mumbai"/>
    <s v="West"/>
    <x v="69"/>
    <x v="3"/>
    <x v="0"/>
    <x v="0"/>
    <s v="Neha"/>
    <n v="8"/>
    <x v="427"/>
    <n v="1457.57"/>
    <n v="934.43"/>
    <x v="215"/>
    <n v="4.8"/>
    <n v="10"/>
    <x v="0"/>
    <s v="Gold"/>
    <s v="Cancelled"/>
    <n v="19.07"/>
    <n v="72.87"/>
    <n v="12812"/>
    <x v="432"/>
    <n v="11219"/>
    <x v="435"/>
    <x v="0"/>
  </r>
  <r>
    <n v="1444"/>
    <s v="Starbucks Bengaluru"/>
    <s v="India"/>
    <x v="0"/>
    <s v="Bengaluru"/>
    <s v="South"/>
    <x v="78"/>
    <x v="2"/>
    <x v="3"/>
    <x v="6"/>
    <s v="Rahul"/>
    <n v="43"/>
    <x v="428"/>
    <n v="9379.6299999999992"/>
    <n v="7218.37"/>
    <x v="137"/>
    <n v="4.9000000000000004"/>
    <n v="0"/>
    <x v="1"/>
    <s v="Regular"/>
    <s v="Refunded"/>
    <n v="12.97"/>
    <n v="77.59"/>
    <n v="11380"/>
    <x v="433"/>
    <n v="10612"/>
    <x v="436"/>
    <x v="2"/>
  </r>
  <r>
    <n v="1445"/>
    <s v="Starbucks Mumbai"/>
    <s v="India"/>
    <x v="2"/>
    <s v="Mumbai"/>
    <s v="West"/>
    <x v="157"/>
    <x v="1"/>
    <x v="3"/>
    <x v="7"/>
    <s v="Asha"/>
    <n v="16"/>
    <x v="429"/>
    <n v="2554.98"/>
    <n v="1093.02"/>
    <x v="216"/>
    <n v="4.9000000000000004"/>
    <n v="0"/>
    <x v="2"/>
    <s v="Premium"/>
    <s v="Completed"/>
    <n v="19.07"/>
    <n v="72.87"/>
    <n v="6076"/>
    <x v="434"/>
    <n v="5190"/>
    <x v="437"/>
    <x v="1"/>
  </r>
  <r>
    <n v="1446"/>
    <s v="Starbucks Chennai"/>
    <s v="India"/>
    <x v="3"/>
    <s v="Chennai"/>
    <s v="South"/>
    <x v="66"/>
    <x v="3"/>
    <x v="0"/>
    <x v="1"/>
    <s v="Anu"/>
    <n v="44"/>
    <x v="430"/>
    <n v="6745.08"/>
    <n v="5222.92"/>
    <x v="10"/>
    <n v="3.8"/>
    <n v="15"/>
    <x v="1"/>
    <s v="Premium"/>
    <s v="Cancelled"/>
    <n v="13.08"/>
    <n v="80.27"/>
    <n v="14160"/>
    <x v="435"/>
    <n v="13372"/>
    <x v="438"/>
    <x v="3"/>
  </r>
  <r>
    <n v="1447"/>
    <s v="Starbucks New Delhi"/>
    <s v="India"/>
    <x v="1"/>
    <s v="New Delhi"/>
    <s v="North"/>
    <x v="89"/>
    <x v="2"/>
    <x v="2"/>
    <x v="4"/>
    <s v="Rahul"/>
    <n v="60"/>
    <x v="207"/>
    <n v="10582.59"/>
    <n v="2857.41"/>
    <x v="172"/>
    <n v="4.0999999999999996"/>
    <n v="0"/>
    <x v="2"/>
    <s v="Gold"/>
    <s v="Refunded"/>
    <n v="28.61"/>
    <n v="77.2"/>
    <n v="9589"/>
    <x v="436"/>
    <n v="8721"/>
    <x v="439"/>
    <x v="3"/>
  </r>
  <r>
    <n v="1448"/>
    <s v="Starbucks Mumbai"/>
    <s v="India"/>
    <x v="2"/>
    <s v="Mumbai"/>
    <s v="West"/>
    <x v="158"/>
    <x v="1"/>
    <x v="2"/>
    <x v="4"/>
    <s v="Neha"/>
    <n v="46"/>
    <x v="431"/>
    <n v="5718.33"/>
    <n v="3021.67"/>
    <x v="217"/>
    <n v="4.3"/>
    <n v="5"/>
    <x v="1"/>
    <s v="Premium"/>
    <s v="Refunded"/>
    <n v="19.07"/>
    <n v="72.87"/>
    <n v="5473"/>
    <x v="437"/>
    <n v="4247"/>
    <x v="440"/>
    <x v="0"/>
  </r>
  <r>
    <n v="1449"/>
    <s v="Starbucks Mumbai"/>
    <s v="India"/>
    <x v="2"/>
    <s v="Mumbai"/>
    <s v="West"/>
    <x v="112"/>
    <x v="1"/>
    <x v="2"/>
    <x v="3"/>
    <s v="Rahul"/>
    <n v="59"/>
    <x v="432"/>
    <n v="13993.46"/>
    <n v="8603.5400000000009"/>
    <x v="151"/>
    <n v="4.0999999999999996"/>
    <n v="15"/>
    <x v="1"/>
    <s v="Regular"/>
    <s v="Refunded"/>
    <n v="19.07"/>
    <n v="72.87"/>
    <n v="11928"/>
    <x v="438"/>
    <n v="10602"/>
    <x v="441"/>
    <x v="0"/>
  </r>
  <r>
    <n v="1450"/>
    <s v="Starbucks Mumbai"/>
    <s v="India"/>
    <x v="2"/>
    <s v="Mumbai"/>
    <s v="West"/>
    <x v="126"/>
    <x v="4"/>
    <x v="1"/>
    <x v="2"/>
    <s v="Rahul"/>
    <n v="32"/>
    <x v="433"/>
    <n v="9823.6200000000008"/>
    <n v="3392.38"/>
    <x v="101"/>
    <n v="3.6"/>
    <n v="15"/>
    <x v="0"/>
    <s v="Gold"/>
    <s v="Completed"/>
    <n v="19.07"/>
    <n v="72.87"/>
    <n v="5035"/>
    <x v="439"/>
    <n v="3403"/>
    <x v="442"/>
    <x v="2"/>
  </r>
  <r>
    <n v="1451"/>
    <s v="Starbucks New Delhi"/>
    <s v="India"/>
    <x v="1"/>
    <s v="New Delhi"/>
    <s v="North"/>
    <x v="140"/>
    <x v="1"/>
    <x v="2"/>
    <x v="4"/>
    <s v="Vivek"/>
    <n v="56"/>
    <x v="434"/>
    <n v="10245.08"/>
    <n v="7170.92"/>
    <x v="153"/>
    <n v="4.8"/>
    <n v="15"/>
    <x v="2"/>
    <s v="Regular"/>
    <s v="Refunded"/>
    <n v="28.61"/>
    <n v="77.2"/>
    <n v="9273"/>
    <x v="440"/>
    <n v="8764"/>
    <x v="443"/>
    <x v="0"/>
  </r>
  <r>
    <n v="1452"/>
    <s v="Starbucks Kochi"/>
    <s v="India"/>
    <x v="4"/>
    <s v="Kochi"/>
    <s v="South"/>
    <x v="159"/>
    <x v="3"/>
    <x v="0"/>
    <x v="0"/>
    <s v="Vivek"/>
    <n v="31"/>
    <x v="435"/>
    <n v="4565.55"/>
    <n v="2223.4499999999998"/>
    <x v="17"/>
    <n v="4.3"/>
    <n v="0"/>
    <x v="0"/>
    <s v="Regular"/>
    <s v="Refunded"/>
    <n v="9.93"/>
    <n v="76.260000000000005"/>
    <n v="13423"/>
    <x v="441"/>
    <n v="11854"/>
    <x v="444"/>
    <x v="0"/>
  </r>
  <r>
    <n v="1453"/>
    <s v="Starbucks New Delhi"/>
    <s v="India"/>
    <x v="1"/>
    <s v="New Delhi"/>
    <s v="North"/>
    <x v="80"/>
    <x v="0"/>
    <x v="0"/>
    <x v="0"/>
    <s v="Vivek"/>
    <n v="28"/>
    <x v="271"/>
    <n v="5233.76"/>
    <n v="1486.24"/>
    <x v="204"/>
    <n v="3.8"/>
    <n v="15"/>
    <x v="1"/>
    <s v="Regular"/>
    <s v="Completed"/>
    <n v="28.61"/>
    <n v="77.2"/>
    <n v="5970"/>
    <x v="442"/>
    <n v="4121"/>
    <x v="445"/>
    <x v="3"/>
  </r>
  <r>
    <n v="1454"/>
    <s v="Starbucks New Delhi"/>
    <s v="India"/>
    <x v="1"/>
    <s v="New Delhi"/>
    <s v="North"/>
    <x v="160"/>
    <x v="4"/>
    <x v="1"/>
    <x v="8"/>
    <s v="Asha"/>
    <n v="55"/>
    <x v="436"/>
    <n v="10997.67"/>
    <n v="7537.33"/>
    <x v="218"/>
    <n v="4.3"/>
    <n v="5"/>
    <x v="1"/>
    <s v="Premium"/>
    <s v="Cancelled"/>
    <n v="28.61"/>
    <n v="77.2"/>
    <n v="5241"/>
    <x v="443"/>
    <n v="3449"/>
    <x v="446"/>
    <x v="2"/>
  </r>
  <r>
    <n v="1455"/>
    <s v="Starbucks Chennai"/>
    <s v="India"/>
    <x v="3"/>
    <s v="Chennai"/>
    <s v="South"/>
    <x v="121"/>
    <x v="1"/>
    <x v="2"/>
    <x v="3"/>
    <s v="Rahul"/>
    <n v="52"/>
    <x v="437"/>
    <n v="6911.6"/>
    <n v="4476.3999999999996"/>
    <x v="74"/>
    <n v="4.5999999999999996"/>
    <n v="0"/>
    <x v="1"/>
    <s v="Gold"/>
    <s v="Cancelled"/>
    <n v="13.08"/>
    <n v="80.27"/>
    <n v="5916"/>
    <x v="444"/>
    <n v="4946"/>
    <x v="447"/>
    <x v="2"/>
  </r>
  <r>
    <n v="1456"/>
    <s v="Starbucks Mumbai"/>
    <s v="India"/>
    <x v="2"/>
    <s v="Mumbai"/>
    <s v="West"/>
    <x v="45"/>
    <x v="3"/>
    <x v="0"/>
    <x v="0"/>
    <s v="Neha"/>
    <n v="13"/>
    <x v="438"/>
    <n v="1870.12"/>
    <n v="1366.88"/>
    <x v="67"/>
    <n v="4.4000000000000004"/>
    <n v="5"/>
    <x v="0"/>
    <s v="Gold"/>
    <s v="Cancelled"/>
    <n v="19.07"/>
    <n v="72.87"/>
    <n v="6213"/>
    <x v="445"/>
    <n v="5070"/>
    <x v="448"/>
    <x v="2"/>
  </r>
  <r>
    <n v="1457"/>
    <s v="Starbucks Chennai"/>
    <s v="India"/>
    <x v="3"/>
    <s v="Chennai"/>
    <s v="South"/>
    <x v="134"/>
    <x v="4"/>
    <x v="1"/>
    <x v="8"/>
    <s v="Asha"/>
    <n v="30"/>
    <x v="439"/>
    <n v="6561.65"/>
    <n v="5018.3500000000004"/>
    <x v="109"/>
    <n v="4.5"/>
    <n v="0"/>
    <x v="1"/>
    <s v="Regular"/>
    <s v="Cancelled"/>
    <n v="13.08"/>
    <n v="80.27"/>
    <n v="10305"/>
    <x v="446"/>
    <n v="9268"/>
    <x v="449"/>
    <x v="0"/>
  </r>
  <r>
    <n v="1458"/>
    <s v="Starbucks New Delhi"/>
    <s v="India"/>
    <x v="1"/>
    <s v="New Delhi"/>
    <s v="North"/>
    <x v="109"/>
    <x v="1"/>
    <x v="0"/>
    <x v="5"/>
    <s v="Asha"/>
    <n v="26"/>
    <x v="440"/>
    <n v="4890.8500000000004"/>
    <n v="2883.15"/>
    <x v="145"/>
    <n v="3.6"/>
    <n v="0"/>
    <x v="1"/>
    <s v="Premium"/>
    <s v="Cancelled"/>
    <n v="28.61"/>
    <n v="77.2"/>
    <n v="14738"/>
    <x v="447"/>
    <n v="12791"/>
    <x v="450"/>
    <x v="2"/>
  </r>
  <r>
    <n v="1459"/>
    <s v="Starbucks New Delhi"/>
    <s v="India"/>
    <x v="1"/>
    <s v="New Delhi"/>
    <s v="North"/>
    <x v="86"/>
    <x v="5"/>
    <x v="0"/>
    <x v="1"/>
    <s v="Rahul"/>
    <n v="35"/>
    <x v="441"/>
    <n v="8458.8700000000008"/>
    <n v="4386.13"/>
    <x v="19"/>
    <n v="4.8"/>
    <n v="15"/>
    <x v="2"/>
    <s v="Regular"/>
    <s v="Refunded"/>
    <n v="28.61"/>
    <n v="77.2"/>
    <n v="10782"/>
    <x v="448"/>
    <n v="9569"/>
    <x v="451"/>
    <x v="3"/>
  </r>
  <r>
    <n v="1460"/>
    <s v="Starbucks Mumbai"/>
    <s v="India"/>
    <x v="2"/>
    <s v="Mumbai"/>
    <s v="West"/>
    <x v="73"/>
    <x v="5"/>
    <x v="1"/>
    <x v="2"/>
    <s v="Asha"/>
    <n v="29"/>
    <x v="442"/>
    <n v="7298.46"/>
    <n v="3228.54"/>
    <x v="21"/>
    <n v="4"/>
    <n v="0"/>
    <x v="0"/>
    <s v="Gold"/>
    <s v="Refunded"/>
    <n v="19.07"/>
    <n v="72.87"/>
    <n v="7534"/>
    <x v="449"/>
    <n v="5930"/>
    <x v="452"/>
    <x v="3"/>
  </r>
  <r>
    <n v="1461"/>
    <s v="Starbucks Chennai"/>
    <s v="India"/>
    <x v="3"/>
    <s v="Chennai"/>
    <s v="South"/>
    <x v="112"/>
    <x v="1"/>
    <x v="2"/>
    <x v="4"/>
    <s v="Vivek"/>
    <n v="34"/>
    <x v="443"/>
    <n v="9305.5400000000009"/>
    <n v="2390.46"/>
    <x v="133"/>
    <n v="3.7"/>
    <n v="5"/>
    <x v="1"/>
    <s v="Regular"/>
    <s v="Completed"/>
    <n v="13.08"/>
    <n v="80.27"/>
    <n v="8317"/>
    <x v="450"/>
    <n v="6696"/>
    <x v="453"/>
    <x v="3"/>
  </r>
  <r>
    <n v="1462"/>
    <s v="Starbucks Mumbai"/>
    <s v="India"/>
    <x v="2"/>
    <s v="Mumbai"/>
    <s v="West"/>
    <x v="89"/>
    <x v="2"/>
    <x v="1"/>
    <x v="2"/>
    <s v="Rahul"/>
    <n v="32"/>
    <x v="444"/>
    <n v="6385.88"/>
    <n v="1646.12"/>
    <x v="56"/>
    <n v="4.9000000000000004"/>
    <n v="15"/>
    <x v="1"/>
    <s v="Regular"/>
    <s v="Refunded"/>
    <n v="19.07"/>
    <n v="72.87"/>
    <n v="13144"/>
    <x v="246"/>
    <n v="11167"/>
    <x v="454"/>
    <x v="2"/>
  </r>
  <r>
    <n v="1463"/>
    <s v="Starbucks Kochi"/>
    <s v="India"/>
    <x v="4"/>
    <s v="Kochi"/>
    <s v="South"/>
    <x v="161"/>
    <x v="2"/>
    <x v="3"/>
    <x v="6"/>
    <s v="Anu"/>
    <n v="13"/>
    <x v="445"/>
    <n v="2498.27"/>
    <n v="842.73"/>
    <x v="192"/>
    <n v="4.4000000000000004"/>
    <n v="0"/>
    <x v="2"/>
    <s v="Regular"/>
    <s v="Completed"/>
    <n v="9.93"/>
    <n v="76.260000000000005"/>
    <n v="10555"/>
    <x v="451"/>
    <n v="9541"/>
    <x v="455"/>
    <x v="2"/>
  </r>
  <r>
    <n v="1464"/>
    <s v="Starbucks Mumbai"/>
    <s v="India"/>
    <x v="2"/>
    <s v="Mumbai"/>
    <s v="West"/>
    <x v="9"/>
    <x v="3"/>
    <x v="1"/>
    <x v="2"/>
    <s v="Asha"/>
    <n v="56"/>
    <x v="446"/>
    <n v="14893.67"/>
    <n v="6274.33"/>
    <x v="1"/>
    <n v="4.5"/>
    <n v="0"/>
    <x v="1"/>
    <s v="Regular"/>
    <s v="Refunded"/>
    <n v="19.07"/>
    <n v="72.87"/>
    <n v="5532"/>
    <x v="452"/>
    <n v="3938"/>
    <x v="456"/>
    <x v="3"/>
  </r>
  <r>
    <n v="1465"/>
    <s v="Starbucks Kochi"/>
    <s v="India"/>
    <x v="4"/>
    <s v="Kochi"/>
    <s v="South"/>
    <x v="142"/>
    <x v="5"/>
    <x v="1"/>
    <x v="8"/>
    <s v="Anu"/>
    <n v="20"/>
    <x v="447"/>
    <n v="3394.22"/>
    <n v="1625.78"/>
    <x v="159"/>
    <n v="4.7"/>
    <n v="0"/>
    <x v="2"/>
    <s v="Regular"/>
    <s v="Cancelled"/>
    <n v="9.93"/>
    <n v="76.260000000000005"/>
    <n v="7876"/>
    <x v="453"/>
    <n v="6747"/>
    <x v="457"/>
    <x v="2"/>
  </r>
  <r>
    <n v="1466"/>
    <s v="Starbucks New Delhi"/>
    <s v="India"/>
    <x v="1"/>
    <s v="New Delhi"/>
    <s v="North"/>
    <x v="162"/>
    <x v="1"/>
    <x v="3"/>
    <x v="7"/>
    <s v="Neha"/>
    <n v="41"/>
    <x v="448"/>
    <n v="9912.4"/>
    <n v="3535.6"/>
    <x v="170"/>
    <n v="4.2"/>
    <n v="10"/>
    <x v="2"/>
    <s v="Gold"/>
    <s v="Refunded"/>
    <n v="28.61"/>
    <n v="77.2"/>
    <n v="12242"/>
    <x v="454"/>
    <n v="10439"/>
    <x v="458"/>
    <x v="2"/>
  </r>
  <r>
    <n v="1467"/>
    <s v="Starbucks Bengaluru"/>
    <s v="India"/>
    <x v="0"/>
    <s v="Bengaluru"/>
    <s v="South"/>
    <x v="90"/>
    <x v="5"/>
    <x v="0"/>
    <x v="0"/>
    <s v="Vivek"/>
    <n v="17"/>
    <x v="449"/>
    <n v="2948.88"/>
    <n v="995.12"/>
    <x v="66"/>
    <n v="4.9000000000000004"/>
    <n v="5"/>
    <x v="2"/>
    <s v="Regular"/>
    <s v="Cancelled"/>
    <n v="12.97"/>
    <n v="77.59"/>
    <n v="5073"/>
    <x v="455"/>
    <n v="3328"/>
    <x v="459"/>
    <x v="2"/>
  </r>
  <r>
    <n v="1468"/>
    <s v="Starbucks Chennai"/>
    <s v="India"/>
    <x v="3"/>
    <s v="Chennai"/>
    <s v="South"/>
    <x v="111"/>
    <x v="5"/>
    <x v="1"/>
    <x v="8"/>
    <s v="Neha"/>
    <n v="48"/>
    <x v="450"/>
    <n v="7682.18"/>
    <n v="3693.82"/>
    <x v="219"/>
    <n v="4.5"/>
    <n v="15"/>
    <x v="0"/>
    <s v="Gold"/>
    <s v="Cancelled"/>
    <n v="13.08"/>
    <n v="80.27"/>
    <n v="10887"/>
    <x v="456"/>
    <n v="10212"/>
    <x v="460"/>
    <x v="3"/>
  </r>
  <r>
    <n v="1469"/>
    <s v="Starbucks Kochi"/>
    <s v="India"/>
    <x v="4"/>
    <s v="Kochi"/>
    <s v="South"/>
    <x v="84"/>
    <x v="5"/>
    <x v="1"/>
    <x v="2"/>
    <s v="Anu"/>
    <n v="29"/>
    <x v="451"/>
    <n v="8511.25"/>
    <n v="2305.75"/>
    <x v="46"/>
    <n v="4"/>
    <n v="10"/>
    <x v="0"/>
    <s v="Gold"/>
    <s v="Cancelled"/>
    <n v="9.93"/>
    <n v="76.260000000000005"/>
    <n v="7654"/>
    <x v="457"/>
    <n v="7142"/>
    <x v="461"/>
    <x v="3"/>
  </r>
  <r>
    <n v="1470"/>
    <s v="Starbucks Mumbai"/>
    <s v="India"/>
    <x v="2"/>
    <s v="Mumbai"/>
    <s v="West"/>
    <x v="16"/>
    <x v="0"/>
    <x v="0"/>
    <x v="0"/>
    <s v="Rahul"/>
    <n v="47"/>
    <x v="452"/>
    <n v="7417.09"/>
    <n v="4614.91"/>
    <x v="66"/>
    <n v="4.7"/>
    <n v="0"/>
    <x v="1"/>
    <s v="Premium"/>
    <s v="Completed"/>
    <n v="19.07"/>
    <n v="72.87"/>
    <n v="12257"/>
    <x v="458"/>
    <n v="11087"/>
    <x v="462"/>
    <x v="2"/>
  </r>
  <r>
    <n v="1471"/>
    <s v="Starbucks Bengaluru"/>
    <s v="India"/>
    <x v="0"/>
    <s v="Bengaluru"/>
    <s v="South"/>
    <x v="48"/>
    <x v="3"/>
    <x v="1"/>
    <x v="8"/>
    <s v="Vivek"/>
    <n v="22"/>
    <x v="453"/>
    <n v="5678.68"/>
    <n v="2857.32"/>
    <x v="197"/>
    <n v="3.8"/>
    <n v="0"/>
    <x v="0"/>
    <s v="Premium"/>
    <s v="Cancelled"/>
    <n v="12.97"/>
    <n v="77.59"/>
    <n v="5333"/>
    <x v="459"/>
    <n v="4213"/>
    <x v="463"/>
    <x v="3"/>
  </r>
  <r>
    <n v="1472"/>
    <s v="Starbucks Chennai"/>
    <s v="India"/>
    <x v="3"/>
    <s v="Chennai"/>
    <s v="South"/>
    <x v="114"/>
    <x v="3"/>
    <x v="2"/>
    <x v="4"/>
    <s v="Neha"/>
    <n v="31"/>
    <x v="454"/>
    <n v="6324.34"/>
    <n v="3347.66"/>
    <x v="55"/>
    <n v="4"/>
    <n v="5"/>
    <x v="1"/>
    <s v="Premium"/>
    <s v="Cancelled"/>
    <n v="13.08"/>
    <n v="80.27"/>
    <n v="12144"/>
    <x v="460"/>
    <n v="10294"/>
    <x v="464"/>
    <x v="1"/>
  </r>
  <r>
    <n v="1473"/>
    <s v="Starbucks Chennai"/>
    <s v="India"/>
    <x v="3"/>
    <s v="Chennai"/>
    <s v="South"/>
    <x v="163"/>
    <x v="2"/>
    <x v="3"/>
    <x v="7"/>
    <s v="Neha"/>
    <n v="45"/>
    <x v="455"/>
    <n v="9683.65"/>
    <n v="5571.35"/>
    <x v="191"/>
    <n v="4.3"/>
    <n v="10"/>
    <x v="0"/>
    <s v="Gold"/>
    <s v="Completed"/>
    <n v="13.08"/>
    <n v="80.27"/>
    <n v="6132"/>
    <x v="461"/>
    <n v="4487"/>
    <x v="465"/>
    <x v="3"/>
  </r>
  <r>
    <n v="1474"/>
    <s v="Starbucks Chennai"/>
    <s v="India"/>
    <x v="3"/>
    <s v="Chennai"/>
    <s v="South"/>
    <x v="113"/>
    <x v="0"/>
    <x v="0"/>
    <x v="5"/>
    <s v="Vivek"/>
    <n v="33"/>
    <x v="456"/>
    <n v="6182.03"/>
    <n v="3354.97"/>
    <x v="86"/>
    <n v="3.7"/>
    <n v="10"/>
    <x v="2"/>
    <s v="Regular"/>
    <s v="Completed"/>
    <n v="13.08"/>
    <n v="80.27"/>
    <n v="6138"/>
    <x v="462"/>
    <n v="4716"/>
    <x v="466"/>
    <x v="2"/>
  </r>
  <r>
    <n v="1475"/>
    <s v="Starbucks New Delhi"/>
    <s v="India"/>
    <x v="1"/>
    <s v="New Delhi"/>
    <s v="North"/>
    <x v="18"/>
    <x v="1"/>
    <x v="1"/>
    <x v="2"/>
    <s v="Vivek"/>
    <n v="38"/>
    <x v="457"/>
    <n v="4764.83"/>
    <n v="2113.17"/>
    <x v="219"/>
    <n v="4.7"/>
    <n v="0"/>
    <x v="1"/>
    <s v="Premium"/>
    <s v="Refunded"/>
    <n v="28.61"/>
    <n v="77.2"/>
    <n v="6037"/>
    <x v="463"/>
    <n v="4137"/>
    <x v="467"/>
    <x v="0"/>
  </r>
  <r>
    <n v="1476"/>
    <s v="Starbucks Mumbai"/>
    <s v="India"/>
    <x v="2"/>
    <s v="Mumbai"/>
    <s v="West"/>
    <x v="126"/>
    <x v="4"/>
    <x v="1"/>
    <x v="2"/>
    <s v="Vivek"/>
    <n v="55"/>
    <x v="458"/>
    <n v="10611.04"/>
    <n v="3798.96"/>
    <x v="220"/>
    <n v="4.2"/>
    <n v="0"/>
    <x v="2"/>
    <s v="Gold"/>
    <s v="Refunded"/>
    <n v="19.07"/>
    <n v="72.87"/>
    <n v="13031"/>
    <x v="464"/>
    <n v="11894"/>
    <x v="468"/>
    <x v="0"/>
  </r>
  <r>
    <n v="1477"/>
    <s v="Starbucks Chennai"/>
    <s v="India"/>
    <x v="3"/>
    <s v="Chennai"/>
    <s v="South"/>
    <x v="77"/>
    <x v="0"/>
    <x v="2"/>
    <x v="4"/>
    <s v="Vivek"/>
    <n v="52"/>
    <x v="459"/>
    <n v="9834.1"/>
    <n v="4569.8999999999996"/>
    <x v="128"/>
    <n v="4.2"/>
    <n v="0"/>
    <x v="2"/>
    <s v="Regular"/>
    <s v="Cancelled"/>
    <n v="13.08"/>
    <n v="80.27"/>
    <n v="12578"/>
    <x v="465"/>
    <n v="10697"/>
    <x v="469"/>
    <x v="2"/>
  </r>
  <r>
    <n v="1478"/>
    <s v="Starbucks Chennai"/>
    <s v="India"/>
    <x v="3"/>
    <s v="Chennai"/>
    <s v="South"/>
    <x v="121"/>
    <x v="1"/>
    <x v="1"/>
    <x v="2"/>
    <s v="Anu"/>
    <n v="21"/>
    <x v="460"/>
    <n v="3698.87"/>
    <n v="2349.13"/>
    <x v="138"/>
    <n v="3.8"/>
    <n v="10"/>
    <x v="2"/>
    <s v="Gold"/>
    <s v="Cancelled"/>
    <n v="13.08"/>
    <n v="80.27"/>
    <n v="14000"/>
    <x v="466"/>
    <n v="13437"/>
    <x v="470"/>
    <x v="1"/>
  </r>
  <r>
    <n v="1479"/>
    <s v="Starbucks New Delhi"/>
    <s v="India"/>
    <x v="1"/>
    <s v="New Delhi"/>
    <s v="North"/>
    <x v="53"/>
    <x v="4"/>
    <x v="1"/>
    <x v="8"/>
    <s v="Vivek"/>
    <n v="17"/>
    <x v="178"/>
    <n v="4685.9799999999996"/>
    <n v="1944.02"/>
    <x v="135"/>
    <n v="3.6"/>
    <n v="0"/>
    <x v="1"/>
    <s v="Regular"/>
    <s v="Completed"/>
    <n v="28.61"/>
    <n v="77.2"/>
    <n v="6595"/>
    <x v="467"/>
    <n v="4680"/>
    <x v="471"/>
    <x v="0"/>
  </r>
  <r>
    <n v="1480"/>
    <s v="Starbucks Mumbai"/>
    <s v="India"/>
    <x v="2"/>
    <s v="Mumbai"/>
    <s v="West"/>
    <x v="164"/>
    <x v="0"/>
    <x v="3"/>
    <x v="6"/>
    <s v="Asha"/>
    <n v="15"/>
    <x v="275"/>
    <n v="4327.46"/>
    <n v="1102.54"/>
    <x v="131"/>
    <n v="3.7"/>
    <n v="15"/>
    <x v="0"/>
    <s v="Gold"/>
    <s v="Refunded"/>
    <n v="19.07"/>
    <n v="72.87"/>
    <n v="13736"/>
    <x v="468"/>
    <n v="12084"/>
    <x v="472"/>
    <x v="3"/>
  </r>
  <r>
    <n v="1481"/>
    <s v="Starbucks Mumbai"/>
    <s v="India"/>
    <x v="2"/>
    <s v="Mumbai"/>
    <s v="West"/>
    <x v="16"/>
    <x v="0"/>
    <x v="1"/>
    <x v="8"/>
    <s v="Anu"/>
    <n v="30"/>
    <x v="461"/>
    <n v="6277.78"/>
    <n v="4672.22"/>
    <x v="221"/>
    <n v="3.5"/>
    <n v="15"/>
    <x v="0"/>
    <s v="Gold"/>
    <s v="Cancelled"/>
    <n v="19.07"/>
    <n v="72.87"/>
    <n v="10595"/>
    <x v="469"/>
    <n v="10009"/>
    <x v="473"/>
    <x v="2"/>
  </r>
  <r>
    <n v="1482"/>
    <s v="Starbucks Kochi"/>
    <s v="India"/>
    <x v="4"/>
    <s v="Kochi"/>
    <s v="South"/>
    <x v="105"/>
    <x v="4"/>
    <x v="0"/>
    <x v="0"/>
    <s v="Neha"/>
    <n v="58"/>
    <x v="462"/>
    <n v="7773.41"/>
    <n v="4290.59"/>
    <x v="146"/>
    <n v="3.9"/>
    <n v="0"/>
    <x v="1"/>
    <s v="Gold"/>
    <s v="Completed"/>
    <n v="9.93"/>
    <n v="76.260000000000005"/>
    <n v="8560"/>
    <x v="470"/>
    <n v="7491"/>
    <x v="474"/>
    <x v="3"/>
  </r>
  <r>
    <n v="1483"/>
    <s v="Starbucks Chennai"/>
    <s v="India"/>
    <x v="3"/>
    <s v="Chennai"/>
    <s v="South"/>
    <x v="141"/>
    <x v="2"/>
    <x v="1"/>
    <x v="8"/>
    <s v="Vivek"/>
    <n v="59"/>
    <x v="463"/>
    <n v="8576.34"/>
    <n v="3695.66"/>
    <x v="12"/>
    <n v="4.7"/>
    <n v="0"/>
    <x v="2"/>
    <s v="Gold"/>
    <s v="Refunded"/>
    <n v="13.08"/>
    <n v="80.27"/>
    <n v="12024"/>
    <x v="471"/>
    <n v="11517"/>
    <x v="475"/>
    <x v="0"/>
  </r>
  <r>
    <n v="1484"/>
    <s v="Starbucks Mumbai"/>
    <s v="India"/>
    <x v="2"/>
    <s v="Mumbai"/>
    <s v="West"/>
    <x v="146"/>
    <x v="5"/>
    <x v="3"/>
    <x v="7"/>
    <s v="Anu"/>
    <n v="16"/>
    <x v="464"/>
    <n v="1965.05"/>
    <n v="1394.95"/>
    <x v="160"/>
    <n v="3.9"/>
    <n v="5"/>
    <x v="0"/>
    <s v="Regular"/>
    <s v="Completed"/>
    <n v="19.07"/>
    <n v="72.87"/>
    <n v="7867"/>
    <x v="472"/>
    <n v="6688"/>
    <x v="476"/>
    <x v="1"/>
  </r>
  <r>
    <n v="1485"/>
    <s v="Starbucks Kochi"/>
    <s v="India"/>
    <x v="4"/>
    <s v="Kochi"/>
    <s v="South"/>
    <x v="76"/>
    <x v="2"/>
    <x v="3"/>
    <x v="7"/>
    <s v="Rahul"/>
    <n v="40"/>
    <x v="385"/>
    <n v="4806.7700000000004"/>
    <n v="2713.23"/>
    <x v="88"/>
    <n v="4.0999999999999996"/>
    <n v="5"/>
    <x v="2"/>
    <s v="Regular"/>
    <s v="Completed"/>
    <n v="9.93"/>
    <n v="76.260000000000005"/>
    <n v="6574"/>
    <x v="473"/>
    <n v="4705"/>
    <x v="477"/>
    <x v="3"/>
  </r>
  <r>
    <n v="1486"/>
    <s v="Starbucks Mumbai"/>
    <s v="India"/>
    <x v="2"/>
    <s v="Mumbai"/>
    <s v="West"/>
    <x v="60"/>
    <x v="4"/>
    <x v="1"/>
    <x v="8"/>
    <s v="Anu"/>
    <n v="32"/>
    <x v="465"/>
    <n v="6022.72"/>
    <n v="4665.28"/>
    <x v="58"/>
    <n v="4.7"/>
    <n v="10"/>
    <x v="2"/>
    <s v="Regular"/>
    <s v="Cancelled"/>
    <n v="19.07"/>
    <n v="72.87"/>
    <n v="9886"/>
    <x v="474"/>
    <n v="9333"/>
    <x v="478"/>
    <x v="3"/>
  </r>
  <r>
    <n v="1487"/>
    <s v="Starbucks Bengaluru"/>
    <s v="India"/>
    <x v="0"/>
    <s v="Bengaluru"/>
    <s v="South"/>
    <x v="18"/>
    <x v="1"/>
    <x v="0"/>
    <x v="1"/>
    <s v="Vivek"/>
    <n v="12"/>
    <x v="466"/>
    <n v="2517.3000000000002"/>
    <n v="902.7"/>
    <x v="222"/>
    <n v="3.6"/>
    <n v="5"/>
    <x v="0"/>
    <s v="Regular"/>
    <s v="Completed"/>
    <n v="12.97"/>
    <n v="77.59"/>
    <n v="6872"/>
    <x v="475"/>
    <n v="6140"/>
    <x v="479"/>
    <x v="1"/>
  </r>
  <r>
    <n v="1488"/>
    <s v="Starbucks Bengaluru"/>
    <s v="India"/>
    <x v="0"/>
    <s v="Bengaluru"/>
    <s v="South"/>
    <x v="117"/>
    <x v="0"/>
    <x v="2"/>
    <x v="3"/>
    <s v="Asha"/>
    <n v="5"/>
    <x v="467"/>
    <n v="1413.97"/>
    <n v="551.03"/>
    <x v="132"/>
    <n v="4.7"/>
    <n v="0"/>
    <x v="1"/>
    <s v="Gold"/>
    <s v="Completed"/>
    <n v="12.97"/>
    <n v="77.59"/>
    <n v="9884"/>
    <x v="476"/>
    <n v="8509"/>
    <x v="480"/>
    <x v="3"/>
  </r>
  <r>
    <n v="1489"/>
    <s v="Starbucks Mumbai"/>
    <s v="India"/>
    <x v="2"/>
    <s v="Mumbai"/>
    <s v="West"/>
    <x v="138"/>
    <x v="4"/>
    <x v="3"/>
    <x v="7"/>
    <s v="Vivek"/>
    <n v="59"/>
    <x v="468"/>
    <n v="9658.1299999999992"/>
    <n v="4914.87"/>
    <x v="208"/>
    <n v="4.7"/>
    <n v="10"/>
    <x v="2"/>
    <s v="Premium"/>
    <s v="Refunded"/>
    <n v="19.07"/>
    <n v="72.87"/>
    <n v="11338"/>
    <x v="477"/>
    <n v="9922"/>
    <x v="481"/>
    <x v="2"/>
  </r>
  <r>
    <n v="1490"/>
    <s v="Starbucks Chennai"/>
    <s v="India"/>
    <x v="3"/>
    <s v="Chennai"/>
    <s v="South"/>
    <x v="121"/>
    <x v="1"/>
    <x v="0"/>
    <x v="1"/>
    <s v="Neha"/>
    <n v="40"/>
    <x v="469"/>
    <n v="9466.7099999999991"/>
    <n v="6533.29"/>
    <x v="223"/>
    <n v="4.3"/>
    <n v="0"/>
    <x v="0"/>
    <s v="Gold"/>
    <s v="Refunded"/>
    <n v="13.08"/>
    <n v="80.27"/>
    <n v="8662"/>
    <x v="478"/>
    <n v="8099"/>
    <x v="482"/>
    <x v="2"/>
  </r>
  <r>
    <n v="1491"/>
    <s v="Starbucks Chennai"/>
    <s v="India"/>
    <x v="3"/>
    <s v="Chennai"/>
    <s v="South"/>
    <x v="126"/>
    <x v="4"/>
    <x v="3"/>
    <x v="6"/>
    <s v="Asha"/>
    <n v="8"/>
    <x v="247"/>
    <n v="1125.3800000000001"/>
    <n v="786.62"/>
    <x v="124"/>
    <n v="4.5"/>
    <n v="10"/>
    <x v="2"/>
    <s v="Premium"/>
    <s v="Refunded"/>
    <n v="13.08"/>
    <n v="80.27"/>
    <n v="12154"/>
    <x v="479"/>
    <n v="11287"/>
    <x v="483"/>
    <x v="2"/>
  </r>
  <r>
    <n v="1492"/>
    <s v="Starbucks New Delhi"/>
    <s v="India"/>
    <x v="1"/>
    <s v="New Delhi"/>
    <s v="North"/>
    <x v="74"/>
    <x v="5"/>
    <x v="0"/>
    <x v="0"/>
    <s v="Rahul"/>
    <n v="27"/>
    <x v="470"/>
    <n v="3981.7"/>
    <n v="3038.3"/>
    <x v="213"/>
    <n v="4.2"/>
    <n v="5"/>
    <x v="1"/>
    <s v="Gold"/>
    <s v="Completed"/>
    <n v="28.61"/>
    <n v="77.2"/>
    <n v="8799"/>
    <x v="480"/>
    <n v="8136"/>
    <x v="484"/>
    <x v="0"/>
  </r>
  <r>
    <n v="1493"/>
    <s v="Starbucks Bengaluru"/>
    <s v="India"/>
    <x v="0"/>
    <s v="Bengaluru"/>
    <s v="South"/>
    <x v="142"/>
    <x v="5"/>
    <x v="0"/>
    <x v="0"/>
    <s v="Anu"/>
    <n v="50"/>
    <x v="471"/>
    <n v="6726.97"/>
    <n v="4773.03"/>
    <x v="113"/>
    <n v="4.7"/>
    <n v="5"/>
    <x v="2"/>
    <s v="Gold"/>
    <s v="Cancelled"/>
    <n v="12.97"/>
    <n v="77.59"/>
    <n v="12598"/>
    <x v="481"/>
    <n v="11027"/>
    <x v="485"/>
    <x v="2"/>
  </r>
  <r>
    <n v="1494"/>
    <s v="Starbucks Bengaluru"/>
    <s v="India"/>
    <x v="0"/>
    <s v="Bengaluru"/>
    <s v="South"/>
    <x v="164"/>
    <x v="0"/>
    <x v="1"/>
    <x v="8"/>
    <s v="Vivek"/>
    <n v="42"/>
    <x v="472"/>
    <n v="7330.24"/>
    <n v="3547.76"/>
    <x v="170"/>
    <n v="3.7"/>
    <n v="5"/>
    <x v="1"/>
    <s v="Regular"/>
    <s v="Completed"/>
    <n v="12.97"/>
    <n v="77.59"/>
    <n v="12355"/>
    <x v="482"/>
    <n v="11149"/>
    <x v="486"/>
    <x v="0"/>
  </r>
  <r>
    <n v="1495"/>
    <s v="Starbucks Kochi"/>
    <s v="India"/>
    <x v="4"/>
    <s v="Kochi"/>
    <s v="South"/>
    <x v="104"/>
    <x v="2"/>
    <x v="2"/>
    <x v="3"/>
    <s v="Anu"/>
    <n v="46"/>
    <x v="473"/>
    <n v="8978.86"/>
    <n v="4821.1400000000003"/>
    <x v="142"/>
    <n v="4.7"/>
    <n v="5"/>
    <x v="2"/>
    <s v="Gold"/>
    <s v="Cancelled"/>
    <n v="9.93"/>
    <n v="76.260000000000005"/>
    <n v="10395"/>
    <x v="483"/>
    <n v="8413"/>
    <x v="487"/>
    <x v="2"/>
  </r>
  <r>
    <n v="1496"/>
    <s v="Starbucks Kochi"/>
    <s v="India"/>
    <x v="4"/>
    <s v="Kochi"/>
    <s v="South"/>
    <x v="38"/>
    <x v="5"/>
    <x v="0"/>
    <x v="0"/>
    <s v="Neha"/>
    <n v="45"/>
    <x v="474"/>
    <n v="9149.24"/>
    <n v="2415.7600000000002"/>
    <x v="219"/>
    <n v="3.6"/>
    <n v="10"/>
    <x v="2"/>
    <s v="Premium"/>
    <s v="Completed"/>
    <n v="9.93"/>
    <n v="76.260000000000005"/>
    <n v="13415"/>
    <x v="484"/>
    <n v="12094"/>
    <x v="488"/>
    <x v="3"/>
  </r>
  <r>
    <n v="1497"/>
    <s v="Starbucks Kochi"/>
    <s v="India"/>
    <x v="4"/>
    <s v="Kochi"/>
    <s v="South"/>
    <x v="15"/>
    <x v="3"/>
    <x v="1"/>
    <x v="8"/>
    <s v="Asha"/>
    <n v="27"/>
    <x v="475"/>
    <n v="4249.97"/>
    <n v="1204.03"/>
    <x v="22"/>
    <n v="4.2"/>
    <n v="0"/>
    <x v="0"/>
    <s v="Gold"/>
    <s v="Completed"/>
    <n v="9.93"/>
    <n v="76.260000000000005"/>
    <n v="9611"/>
    <x v="485"/>
    <n v="8579"/>
    <x v="489"/>
    <x v="3"/>
  </r>
  <r>
    <n v="1498"/>
    <s v="Starbucks Kochi"/>
    <s v="India"/>
    <x v="4"/>
    <s v="Kochi"/>
    <s v="South"/>
    <x v="65"/>
    <x v="3"/>
    <x v="1"/>
    <x v="8"/>
    <s v="Neha"/>
    <n v="47"/>
    <x v="476"/>
    <n v="6166.91"/>
    <n v="2857.09"/>
    <x v="172"/>
    <n v="5"/>
    <n v="10"/>
    <x v="1"/>
    <s v="Regular"/>
    <s v="Completed"/>
    <n v="9.93"/>
    <n v="76.260000000000005"/>
    <n v="7252"/>
    <x v="486"/>
    <n v="6590"/>
    <x v="490"/>
    <x v="0"/>
  </r>
  <r>
    <n v="1499"/>
    <s v="Starbucks New Delhi"/>
    <s v="India"/>
    <x v="1"/>
    <s v="New Delhi"/>
    <s v="North"/>
    <x v="37"/>
    <x v="2"/>
    <x v="2"/>
    <x v="3"/>
    <s v="Neha"/>
    <n v="35"/>
    <x v="477"/>
    <n v="5684.87"/>
    <n v="2645.13"/>
    <x v="18"/>
    <n v="4"/>
    <n v="5"/>
    <x v="0"/>
    <s v="Gold"/>
    <s v="Cancelled"/>
    <n v="28.61"/>
    <n v="77.2"/>
    <n v="9689"/>
    <x v="487"/>
    <n v="8916"/>
    <x v="4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85D00-499B-42AB-B994-ADD33E9B6B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H15:AI1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D5CD3-BCEA-4768-92A0-022A5BF3E2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E15:AF2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246B7-B1DB-4BCC-BE21-8C0E5EDA21C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23:AF29" firstHeaderRow="1" firstDataRow="1" firstDataCol="1"/>
  <pivotFields count="30"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F53BC-C303-4C26-AB42-1E03DF70BE7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15:AO24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dataField="1" showAll="0">
      <items count="479">
        <item x="374"/>
        <item x="233"/>
        <item x="253"/>
        <item x="293"/>
        <item x="54"/>
        <item x="411"/>
        <item x="92"/>
        <item x="241"/>
        <item x="113"/>
        <item x="76"/>
        <item x="371"/>
        <item x="289"/>
        <item x="150"/>
        <item x="67"/>
        <item x="64"/>
        <item x="14"/>
        <item x="348"/>
        <item x="11"/>
        <item x="247"/>
        <item x="367"/>
        <item x="343"/>
        <item x="467"/>
        <item x="414"/>
        <item x="403"/>
        <item x="279"/>
        <item x="256"/>
        <item x="40"/>
        <item x="211"/>
        <item x="79"/>
        <item x="319"/>
        <item x="172"/>
        <item x="265"/>
        <item x="296"/>
        <item x="363"/>
        <item x="36"/>
        <item x="427"/>
        <item x="19"/>
        <item x="153"/>
        <item x="408"/>
        <item x="194"/>
        <item x="128"/>
        <item x="25"/>
        <item x="412"/>
        <item x="190"/>
        <item x="55"/>
        <item x="419"/>
        <item x="280"/>
        <item x="219"/>
        <item x="346"/>
        <item x="57"/>
        <item x="333"/>
        <item x="388"/>
        <item x="135"/>
        <item x="424"/>
        <item x="139"/>
        <item x="100"/>
        <item x="31"/>
        <item x="232"/>
        <item x="409"/>
        <item x="398"/>
        <item x="438"/>
        <item x="267"/>
        <item x="77"/>
        <item x="397"/>
        <item x="445"/>
        <item x="464"/>
        <item x="63"/>
        <item x="466"/>
        <item x="115"/>
        <item x="274"/>
        <item x="132"/>
        <item x="136"/>
        <item x="221"/>
        <item x="159"/>
        <item x="429"/>
        <item x="304"/>
        <item x="251"/>
        <item x="382"/>
        <item x="426"/>
        <item x="24"/>
        <item x="449"/>
        <item x="73"/>
        <item x="223"/>
        <item x="353"/>
        <item x="174"/>
        <item x="389"/>
        <item x="383"/>
        <item x="220"/>
        <item x="23"/>
        <item x="290"/>
        <item x="46"/>
        <item x="199"/>
        <item x="66"/>
        <item x="16"/>
        <item x="257"/>
        <item x="149"/>
        <item x="237"/>
        <item x="87"/>
        <item x="133"/>
        <item x="362"/>
        <item x="263"/>
        <item x="222"/>
        <item x="7"/>
        <item x="249"/>
        <item x="126"/>
        <item x="268"/>
        <item x="107"/>
        <item x="106"/>
        <item x="254"/>
        <item x="235"/>
        <item x="447"/>
        <item x="255"/>
        <item x="183"/>
        <item x="420"/>
        <item x="262"/>
        <item x="103"/>
        <item x="328"/>
        <item x="360"/>
        <item x="275"/>
        <item x="475"/>
        <item x="33"/>
        <item x="415"/>
        <item x="198"/>
        <item x="165"/>
        <item x="117"/>
        <item x="52"/>
        <item x="312"/>
        <item x="379"/>
        <item x="278"/>
        <item x="305"/>
        <item x="58"/>
        <item x="176"/>
        <item x="418"/>
        <item x="366"/>
        <item x="234"/>
        <item x="29"/>
        <item x="108"/>
        <item x="460"/>
        <item x="37"/>
        <item x="365"/>
        <item x="400"/>
        <item x="35"/>
        <item x="270"/>
        <item x="80"/>
        <item x="10"/>
        <item x="297"/>
        <item x="212"/>
        <item x="178"/>
        <item x="18"/>
        <item x="271"/>
        <item x="298"/>
        <item x="435"/>
        <item x="457"/>
        <item x="402"/>
        <item x="210"/>
        <item x="324"/>
        <item x="259"/>
        <item x="243"/>
        <item x="240"/>
        <item x="282"/>
        <item x="266"/>
        <item x="470"/>
        <item x="228"/>
        <item x="217"/>
        <item x="202"/>
        <item x="337"/>
        <item x="177"/>
        <item x="344"/>
        <item x="376"/>
        <item x="4"/>
        <item x="143"/>
        <item x="205"/>
        <item x="97"/>
        <item x="213"/>
        <item x="39"/>
        <item x="84"/>
        <item x="15"/>
        <item x="385"/>
        <item x="83"/>
        <item x="215"/>
        <item x="345"/>
        <item x="225"/>
        <item x="203"/>
        <item x="311"/>
        <item x="440"/>
        <item x="310"/>
        <item x="98"/>
        <item x="391"/>
        <item x="407"/>
        <item x="1"/>
        <item x="444"/>
        <item x="27"/>
        <item x="171"/>
        <item x="82"/>
        <item x="347"/>
        <item x="392"/>
        <item x="477"/>
        <item x="384"/>
        <item x="125"/>
        <item x="273"/>
        <item x="49"/>
        <item x="184"/>
        <item x="453"/>
        <item x="285"/>
        <item x="142"/>
        <item x="62"/>
        <item x="231"/>
        <item x="425"/>
        <item x="201"/>
        <item x="48"/>
        <item x="45"/>
        <item x="181"/>
        <item x="431"/>
        <item x="145"/>
        <item x="41"/>
        <item x="318"/>
        <item x="381"/>
        <item x="28"/>
        <item x="396"/>
        <item x="89"/>
        <item x="401"/>
        <item x="476"/>
        <item x="119"/>
        <item x="313"/>
        <item x="399"/>
        <item x="406"/>
        <item x="112"/>
        <item x="204"/>
        <item x="88"/>
        <item x="104"/>
        <item x="162"/>
        <item x="272"/>
        <item x="380"/>
        <item x="44"/>
        <item x="336"/>
        <item x="355"/>
        <item x="456"/>
        <item x="227"/>
        <item x="141"/>
        <item x="339"/>
        <item x="169"/>
        <item x="164"/>
        <item x="93"/>
        <item x="454"/>
        <item x="369"/>
        <item x="182"/>
        <item x="301"/>
        <item x="74"/>
        <item x="71"/>
        <item x="170"/>
        <item x="146"/>
        <item x="209"/>
        <item x="330"/>
        <item x="358"/>
        <item x="116"/>
        <item x="316"/>
        <item x="191"/>
        <item x="331"/>
        <item x="417"/>
        <item x="131"/>
        <item x="320"/>
        <item x="295"/>
        <item x="303"/>
        <item x="351"/>
        <item x="373"/>
        <item x="442"/>
        <item x="332"/>
        <item x="81"/>
        <item x="61"/>
        <item x="72"/>
        <item x="340"/>
        <item x="30"/>
        <item x="465"/>
        <item x="338"/>
        <item x="3"/>
        <item x="239"/>
        <item x="134"/>
        <item x="451"/>
        <item x="156"/>
        <item x="127"/>
        <item x="317"/>
        <item x="472"/>
        <item x="86"/>
        <item x="461"/>
        <item x="38"/>
        <item x="47"/>
        <item x="377"/>
        <item x="68"/>
        <item x="236"/>
        <item x="284"/>
        <item x="2"/>
        <item x="276"/>
        <item x="206"/>
        <item x="200"/>
        <item x="450"/>
        <item x="437"/>
        <item x="334"/>
        <item x="422"/>
        <item x="308"/>
        <item x="471"/>
        <item x="393"/>
        <item x="474"/>
        <item x="439"/>
        <item x="8"/>
        <item x="59"/>
        <item x="166"/>
        <item x="12"/>
        <item x="443"/>
        <item x="294"/>
        <item x="287"/>
        <item x="246"/>
        <item x="9"/>
        <item x="325"/>
        <item x="144"/>
        <item x="430"/>
        <item x="260"/>
        <item x="114"/>
        <item x="5"/>
        <item x="452"/>
        <item x="188"/>
        <item x="462"/>
        <item x="354"/>
        <item x="378"/>
        <item x="269"/>
        <item x="22"/>
        <item x="463"/>
        <item x="197"/>
        <item x="283"/>
        <item x="56"/>
        <item x="195"/>
        <item x="218"/>
        <item x="122"/>
        <item x="60"/>
        <item x="277"/>
        <item x="292"/>
        <item x="110"/>
        <item x="368"/>
        <item x="53"/>
        <item x="94"/>
        <item x="242"/>
        <item x="302"/>
        <item x="441"/>
        <item x="208"/>
        <item x="421"/>
        <item x="101"/>
        <item x="109"/>
        <item x="375"/>
        <item x="390"/>
        <item x="335"/>
        <item x="163"/>
        <item x="433"/>
        <item x="357"/>
        <item x="306"/>
        <item x="26"/>
        <item x="51"/>
        <item x="207"/>
        <item x="448"/>
        <item x="158"/>
        <item x="405"/>
        <item x="129"/>
        <item x="154"/>
        <item x="151"/>
        <item x="364"/>
        <item x="192"/>
        <item x="168"/>
        <item x="123"/>
        <item x="473"/>
        <item x="341"/>
        <item x="175"/>
        <item x="152"/>
        <item x="0"/>
        <item x="216"/>
        <item x="120"/>
        <item x="20"/>
        <item x="352"/>
        <item x="258"/>
        <item x="193"/>
        <item x="90"/>
        <item x="69"/>
        <item x="160"/>
        <item x="32"/>
        <item x="315"/>
        <item x="459"/>
        <item x="458"/>
        <item x="173"/>
        <item x="214"/>
        <item x="286"/>
        <item x="147"/>
        <item x="13"/>
        <item x="468"/>
        <item x="230"/>
        <item x="161"/>
        <item x="281"/>
        <item x="50"/>
        <item x="350"/>
        <item x="140"/>
        <item x="118"/>
        <item x="342"/>
        <item x="99"/>
        <item x="299"/>
        <item x="21"/>
        <item x="250"/>
        <item x="138"/>
        <item x="137"/>
        <item x="455"/>
        <item x="423"/>
        <item x="185"/>
        <item x="245"/>
        <item x="96"/>
        <item x="187"/>
        <item x="307"/>
        <item x="359"/>
        <item x="469"/>
        <item x="34"/>
        <item x="155"/>
        <item x="42"/>
        <item x="157"/>
        <item x="326"/>
        <item x="6"/>
        <item x="111"/>
        <item x="428"/>
        <item x="372"/>
        <item x="329"/>
        <item x="314"/>
        <item x="17"/>
        <item x="327"/>
        <item x="167"/>
        <item x="244"/>
        <item x="434"/>
        <item x="85"/>
        <item x="102"/>
        <item x="224"/>
        <item x="413"/>
        <item x="309"/>
        <item x="410"/>
        <item x="416"/>
        <item x="361"/>
        <item x="95"/>
        <item x="356"/>
        <item x="180"/>
        <item x="404"/>
        <item x="349"/>
        <item x="65"/>
        <item x="370"/>
        <item x="300"/>
        <item x="70"/>
        <item x="105"/>
        <item x="121"/>
        <item x="322"/>
        <item x="436"/>
        <item x="148"/>
        <item x="91"/>
        <item x="130"/>
        <item x="248"/>
        <item x="321"/>
        <item x="186"/>
        <item x="252"/>
        <item x="189"/>
        <item x="394"/>
        <item x="387"/>
        <item x="229"/>
        <item x="179"/>
        <item x="261"/>
        <item x="446"/>
        <item x="75"/>
        <item x="264"/>
        <item x="196"/>
        <item x="238"/>
        <item x="395"/>
        <item x="432"/>
        <item x="124"/>
        <item x="386"/>
        <item x="291"/>
        <item x="43"/>
        <item x="78"/>
        <item x="288"/>
        <item x="323"/>
        <item x="226"/>
        <item t="default"/>
      </items>
    </pivotField>
    <pivotField showAll="0"/>
    <pivotField showAll="0"/>
    <pivotField axis="axisRow" showAll="0">
      <items count="225">
        <item x="104"/>
        <item x="143"/>
        <item x="91"/>
        <item x="162"/>
        <item x="94"/>
        <item x="202"/>
        <item x="89"/>
        <item x="147"/>
        <item x="169"/>
        <item x="32"/>
        <item x="101"/>
        <item x="16"/>
        <item x="36"/>
        <item x="23"/>
        <item x="128"/>
        <item x="150"/>
        <item x="18"/>
        <item x="113"/>
        <item x="9"/>
        <item x="199"/>
        <item x="84"/>
        <item x="15"/>
        <item x="86"/>
        <item x="214"/>
        <item x="145"/>
        <item x="196"/>
        <item x="112"/>
        <item x="187"/>
        <item x="24"/>
        <item x="62"/>
        <item x="72"/>
        <item x="184"/>
        <item x="158"/>
        <item x="155"/>
        <item x="0"/>
        <item x="77"/>
        <item x="119"/>
        <item x="204"/>
        <item x="13"/>
        <item x="219"/>
        <item x="203"/>
        <item x="157"/>
        <item x="161"/>
        <item x="123"/>
        <item x="149"/>
        <item x="28"/>
        <item x="144"/>
        <item x="71"/>
        <item x="121"/>
        <item x="51"/>
        <item x="122"/>
        <item x="2"/>
        <item x="188"/>
        <item x="74"/>
        <item x="70"/>
        <item x="174"/>
        <item x="64"/>
        <item x="138"/>
        <item x="60"/>
        <item x="171"/>
        <item x="200"/>
        <item x="146"/>
        <item x="6"/>
        <item x="170"/>
        <item x="57"/>
        <item x="205"/>
        <item x="126"/>
        <item x="92"/>
        <item x="106"/>
        <item x="194"/>
        <item x="178"/>
        <item x="34"/>
        <item x="141"/>
        <item x="109"/>
        <item x="42"/>
        <item x="195"/>
        <item x="192"/>
        <item x="52"/>
        <item x="66"/>
        <item x="135"/>
        <item x="56"/>
        <item x="139"/>
        <item x="37"/>
        <item x="3"/>
        <item x="79"/>
        <item x="136"/>
        <item x="17"/>
        <item x="114"/>
        <item x="197"/>
        <item x="212"/>
        <item x="48"/>
        <item x="182"/>
        <item x="168"/>
        <item x="209"/>
        <item x="47"/>
        <item x="132"/>
        <item x="180"/>
        <item x="76"/>
        <item x="124"/>
        <item x="108"/>
        <item x="198"/>
        <item x="40"/>
        <item x="22"/>
        <item x="216"/>
        <item x="45"/>
        <item x="27"/>
        <item x="152"/>
        <item x="97"/>
        <item x="33"/>
        <item x="167"/>
        <item x="98"/>
        <item x="100"/>
        <item x="58"/>
        <item x="177"/>
        <item x="125"/>
        <item x="59"/>
        <item x="201"/>
        <item x="120"/>
        <item x="218"/>
        <item x="163"/>
        <item x="46"/>
        <item x="160"/>
        <item x="31"/>
        <item x="87"/>
        <item x="68"/>
        <item x="80"/>
        <item x="20"/>
        <item x="1"/>
        <item x="55"/>
        <item x="38"/>
        <item x="81"/>
        <item x="102"/>
        <item x="173"/>
        <item x="107"/>
        <item x="179"/>
        <item x="166"/>
        <item x="99"/>
        <item x="49"/>
        <item x="221"/>
        <item x="54"/>
        <item x="111"/>
        <item x="154"/>
        <item x="12"/>
        <item x="43"/>
        <item x="103"/>
        <item x="130"/>
        <item x="134"/>
        <item x="41"/>
        <item x="115"/>
        <item x="82"/>
        <item x="19"/>
        <item x="206"/>
        <item x="137"/>
        <item x="142"/>
        <item x="110"/>
        <item x="4"/>
        <item x="53"/>
        <item x="63"/>
        <item x="183"/>
        <item x="21"/>
        <item x="7"/>
        <item x="217"/>
        <item x="61"/>
        <item x="30"/>
        <item x="90"/>
        <item x="105"/>
        <item x="14"/>
        <item x="88"/>
        <item x="223"/>
        <item x="85"/>
        <item x="208"/>
        <item x="159"/>
        <item x="10"/>
        <item x="96"/>
        <item x="131"/>
        <item x="129"/>
        <item x="127"/>
        <item x="193"/>
        <item x="172"/>
        <item x="190"/>
        <item x="215"/>
        <item x="140"/>
        <item x="222"/>
        <item x="26"/>
        <item x="133"/>
        <item x="210"/>
        <item x="25"/>
        <item x="44"/>
        <item x="118"/>
        <item x="164"/>
        <item x="8"/>
        <item x="116"/>
        <item x="83"/>
        <item x="75"/>
        <item x="176"/>
        <item x="189"/>
        <item x="207"/>
        <item x="211"/>
        <item x="156"/>
        <item x="191"/>
        <item x="213"/>
        <item x="117"/>
        <item x="69"/>
        <item x="185"/>
        <item x="148"/>
        <item x="35"/>
        <item x="186"/>
        <item x="95"/>
        <item x="78"/>
        <item x="11"/>
        <item x="65"/>
        <item x="73"/>
        <item x="220"/>
        <item x="29"/>
        <item x="5"/>
        <item x="165"/>
        <item x="181"/>
        <item x="175"/>
        <item x="153"/>
        <item x="50"/>
        <item x="151"/>
        <item x="39"/>
        <item x="93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2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Items count="1">
    <i/>
  </colItems>
  <dataFields count="1">
    <dataField name="Average of Sales Amount" fld="12" subtotal="average" baseField="15" baseItem="0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D4EE7-B765-4A84-B794-CE8EA7ED555F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H23:AI37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10">
        <item x="1"/>
        <item x="3"/>
        <item x="6"/>
        <item x="8"/>
        <item x="5"/>
        <item x="7"/>
        <item x="4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8"/>
    <field x="9"/>
  </rowFields>
  <rowItems count="14">
    <i>
      <x/>
    </i>
    <i r="1">
      <x v="3"/>
    </i>
    <i r="1">
      <x v="8"/>
    </i>
    <i>
      <x v="1"/>
    </i>
    <i r="1">
      <x v="2"/>
    </i>
    <i r="1">
      <x v="5"/>
    </i>
    <i>
      <x v="2"/>
    </i>
    <i r="1">
      <x/>
    </i>
    <i r="1">
      <x v="4"/>
    </i>
    <i r="1">
      <x v="7"/>
    </i>
    <i>
      <x v="3"/>
    </i>
    <i r="1">
      <x v="1"/>
    </i>
    <i r="1">
      <x v="6"/>
    </i>
    <i t="grand">
      <x/>
    </i>
  </rowItems>
  <colItems count="1">
    <i/>
  </colItems>
  <dataFields count="1">
    <dataField name="Sum of Sales Amount" fld="12" baseField="0" baseItem="0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3CC8C-03BC-4585-85EE-7372C963E10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23:AR2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ead Stage" fld="27" subtotal="count" baseField="0" baseItem="0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91380-2D83-46F6-994C-5080DEA15F4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Q15:AU22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489">
        <item x="12"/>
        <item x="153"/>
        <item x="225"/>
        <item x="215"/>
        <item x="335"/>
        <item x="459"/>
        <item x="283"/>
        <item x="107"/>
        <item x="214"/>
        <item x="394"/>
        <item x="375"/>
        <item x="35"/>
        <item x="219"/>
        <item x="361"/>
        <item x="353"/>
        <item x="442"/>
        <item x="82"/>
        <item x="130"/>
        <item x="114"/>
        <item x="437"/>
        <item x="262"/>
        <item x="444"/>
        <item x="249"/>
        <item x="148"/>
        <item x="419"/>
        <item x="330"/>
        <item x="341"/>
        <item x="267"/>
        <item x="2"/>
        <item x="366"/>
        <item x="135"/>
        <item x="42"/>
        <item x="65"/>
        <item x="132"/>
        <item x="351"/>
        <item x="144"/>
        <item x="72"/>
        <item x="313"/>
        <item x="302"/>
        <item x="452"/>
        <item x="455"/>
        <item x="0"/>
        <item x="149"/>
        <item x="48"/>
        <item x="354"/>
        <item x="18"/>
        <item x="204"/>
        <item x="133"/>
        <item x="212"/>
        <item x="194"/>
        <item x="445"/>
        <item x="463"/>
        <item x="364"/>
        <item x="467"/>
        <item x="175"/>
        <item x="473"/>
        <item x="337"/>
        <item x="269"/>
        <item x="101"/>
        <item x="53"/>
        <item x="443"/>
        <item x="462"/>
        <item x="413"/>
        <item x="411"/>
        <item x="296"/>
        <item x="461"/>
        <item x="251"/>
        <item x="398"/>
        <item x="238"/>
        <item x="360"/>
        <item x="387"/>
        <item x="434"/>
        <item x="314"/>
        <item x="439"/>
        <item x="450"/>
        <item x="290"/>
        <item x="93"/>
        <item x="268"/>
        <item x="137"/>
        <item x="136"/>
        <item x="271"/>
        <item x="85"/>
        <item x="299"/>
        <item x="79"/>
        <item x="155"/>
        <item x="427"/>
        <item x="180"/>
        <item x="106"/>
        <item x="408"/>
        <item x="52"/>
        <item x="68"/>
        <item x="417"/>
        <item x="200"/>
        <item x="119"/>
        <item x="108"/>
        <item x="322"/>
        <item x="163"/>
        <item x="263"/>
        <item x="284"/>
        <item x="425"/>
        <item x="373"/>
        <item x="372"/>
        <item x="30"/>
        <item x="181"/>
        <item x="191"/>
        <item x="33"/>
        <item x="293"/>
        <item x="259"/>
        <item x="260"/>
        <item x="297"/>
        <item x="472"/>
        <item x="282"/>
        <item x="60"/>
        <item x="475"/>
        <item x="288"/>
        <item x="324"/>
        <item x="395"/>
        <item x="160"/>
        <item x="232"/>
        <item x="306"/>
        <item x="125"/>
        <item x="486"/>
        <item x="374"/>
        <item x="381"/>
        <item x="134"/>
        <item x="150"/>
        <item x="250"/>
        <item x="237"/>
        <item x="253"/>
        <item x="202"/>
        <item x="379"/>
        <item x="478"/>
        <item x="453"/>
        <item x="118"/>
        <item x="98"/>
        <item x="140"/>
        <item x="169"/>
        <item x="264"/>
        <item x="245"/>
        <item x="436"/>
        <item x="6"/>
        <item x="44"/>
        <item x="71"/>
        <item x="97"/>
        <item x="50"/>
        <item x="376"/>
        <item x="56"/>
        <item x="24"/>
        <item x="255"/>
        <item x="281"/>
        <item x="198"/>
        <item x="74"/>
        <item x="27"/>
        <item x="327"/>
        <item x="7"/>
        <item x="67"/>
        <item x="480"/>
        <item x="292"/>
        <item x="350"/>
        <item x="127"/>
        <item x="476"/>
        <item x="401"/>
        <item x="384"/>
        <item x="325"/>
        <item x="233"/>
        <item x="116"/>
        <item x="170"/>
        <item x="243"/>
        <item x="182"/>
        <item x="94"/>
        <item x="166"/>
        <item x="168"/>
        <item x="346"/>
        <item x="276"/>
        <item x="100"/>
        <item x="279"/>
        <item x="36"/>
        <item x="189"/>
        <item x="406"/>
        <item x="211"/>
        <item x="208"/>
        <item x="89"/>
        <item x="158"/>
        <item x="111"/>
        <item x="380"/>
        <item x="286"/>
        <item x="120"/>
        <item x="386"/>
        <item x="206"/>
        <item x="362"/>
        <item x="235"/>
        <item x="22"/>
        <item x="369"/>
        <item x="316"/>
        <item x="403"/>
        <item x="9"/>
        <item x="474"/>
        <item x="457"/>
        <item x="28"/>
        <item x="449"/>
        <item x="470"/>
        <item x="426"/>
        <item x="320"/>
        <item x="145"/>
        <item x="3"/>
        <item x="423"/>
        <item x="344"/>
        <item x="109"/>
        <item x="371"/>
        <item x="389"/>
        <item x="487"/>
        <item x="400"/>
        <item x="291"/>
        <item x="469"/>
        <item x="319"/>
        <item x="277"/>
        <item x="129"/>
        <item x="321"/>
        <item x="151"/>
        <item x="446"/>
        <item x="308"/>
        <item x="64"/>
        <item x="143"/>
        <item x="213"/>
        <item x="298"/>
        <item x="340"/>
        <item x="412"/>
        <item x="378"/>
        <item x="304"/>
        <item x="388"/>
        <item x="138"/>
        <item x="440"/>
        <item x="328"/>
        <item x="370"/>
        <item x="229"/>
        <item x="122"/>
        <item x="424"/>
        <item x="87"/>
        <item x="183"/>
        <item x="201"/>
        <item x="421"/>
        <item x="363"/>
        <item x="280"/>
        <item x="26"/>
        <item x="420"/>
        <item x="1"/>
        <item x="409"/>
        <item x="210"/>
        <item x="397"/>
        <item x="404"/>
        <item x="32"/>
        <item x="228"/>
        <item x="273"/>
        <item x="285"/>
        <item x="382"/>
        <item x="303"/>
        <item x="383"/>
        <item x="479"/>
        <item x="99"/>
        <item x="338"/>
        <item x="270"/>
        <item x="57"/>
        <item x="46"/>
        <item x="117"/>
        <item x="433"/>
        <item x="485"/>
        <item x="39"/>
        <item x="481"/>
        <item x="278"/>
        <item x="326"/>
        <item x="104"/>
        <item x="84"/>
        <item x="305"/>
        <item x="90"/>
        <item x="226"/>
        <item x="49"/>
        <item x="51"/>
        <item x="448"/>
        <item x="96"/>
        <item x="407"/>
        <item x="11"/>
        <item x="429"/>
        <item x="241"/>
        <item x="355"/>
        <item x="336"/>
        <item x="315"/>
        <item x="438"/>
        <item x="244"/>
        <item x="139"/>
        <item x="173"/>
        <item x="78"/>
        <item x="186"/>
        <item x="418"/>
        <item x="294"/>
        <item x="365"/>
        <item x="123"/>
        <item x="20"/>
        <item x="391"/>
        <item x="209"/>
        <item x="16"/>
        <item x="10"/>
        <item x="240"/>
        <item x="261"/>
        <item x="81"/>
        <item x="110"/>
        <item x="14"/>
        <item x="390"/>
        <item x="393"/>
        <item x="184"/>
        <item x="223"/>
        <item x="83"/>
        <item x="47"/>
        <item x="405"/>
        <item x="342"/>
        <item x="190"/>
        <item x="275"/>
        <item x="428"/>
        <item x="236"/>
        <item x="43"/>
        <item x="171"/>
        <item x="356"/>
        <item x="430"/>
        <item x="218"/>
        <item x="75"/>
        <item x="311"/>
        <item x="258"/>
        <item x="289"/>
        <item x="483"/>
        <item x="287"/>
        <item x="124"/>
        <item x="15"/>
        <item x="220"/>
        <item x="105"/>
        <item x="55"/>
        <item x="164"/>
        <item x="458"/>
        <item x="300"/>
        <item x="45"/>
        <item x="317"/>
        <item x="224"/>
        <item x="63"/>
        <item x="179"/>
        <item x="274"/>
        <item x="451"/>
        <item x="334"/>
        <item x="40"/>
        <item x="309"/>
        <item x="59"/>
        <item x="142"/>
        <item x="234"/>
        <item x="113"/>
        <item x="468"/>
        <item x="207"/>
        <item x="165"/>
        <item x="31"/>
        <item x="69"/>
        <item x="178"/>
        <item x="58"/>
        <item x="414"/>
        <item x="477"/>
        <item x="456"/>
        <item x="432"/>
        <item x="227"/>
        <item x="193"/>
        <item x="248"/>
        <item x="239"/>
        <item x="157"/>
        <item x="460"/>
        <item x="256"/>
        <item x="329"/>
        <item x="295"/>
        <item x="25"/>
        <item x="102"/>
        <item x="156"/>
        <item x="230"/>
        <item x="162"/>
        <item x="242"/>
        <item x="62"/>
        <item x="352"/>
        <item x="161"/>
        <item x="377"/>
        <item x="17"/>
        <item x="66"/>
        <item x="343"/>
        <item x="188"/>
        <item x="266"/>
        <item x="422"/>
        <item x="154"/>
        <item x="37"/>
        <item x="19"/>
        <item x="172"/>
        <item x="126"/>
        <item x="95"/>
        <item x="112"/>
        <item x="23"/>
        <item x="246"/>
        <item x="80"/>
        <item x="247"/>
        <item x="70"/>
        <item x="197"/>
        <item x="146"/>
        <item x="29"/>
        <item x="312"/>
        <item x="349"/>
        <item x="348"/>
        <item x="385"/>
        <item x="307"/>
        <item x="217"/>
        <item x="392"/>
        <item x="416"/>
        <item x="367"/>
        <item x="91"/>
        <item x="471"/>
        <item x="454"/>
        <item x="13"/>
        <item x="86"/>
        <item x="482"/>
        <item x="131"/>
        <item x="331"/>
        <item x="368"/>
        <item x="484"/>
        <item x="464"/>
        <item x="195"/>
        <item x="21"/>
        <item x="147"/>
        <item x="185"/>
        <item x="333"/>
        <item x="115"/>
        <item x="399"/>
        <item x="141"/>
        <item x="301"/>
        <item x="339"/>
        <item x="435"/>
        <item x="318"/>
        <item x="272"/>
        <item x="177"/>
        <item x="203"/>
        <item x="231"/>
        <item x="159"/>
        <item x="199"/>
        <item x="205"/>
        <item x="121"/>
        <item x="347"/>
        <item x="73"/>
        <item x="465"/>
        <item x="310"/>
        <item x="174"/>
        <item x="41"/>
        <item x="34"/>
        <item x="92"/>
        <item x="176"/>
        <item x="466"/>
        <item x="4"/>
        <item x="192"/>
        <item x="77"/>
        <item x="222"/>
        <item x="187"/>
        <item x="254"/>
        <item x="152"/>
        <item x="76"/>
        <item x="38"/>
        <item x="88"/>
        <item x="265"/>
        <item x="257"/>
        <item x="447"/>
        <item x="332"/>
        <item x="8"/>
        <item x="167"/>
        <item x="441"/>
        <item x="103"/>
        <item x="345"/>
        <item x="396"/>
        <item x="431"/>
        <item x="357"/>
        <item x="128"/>
        <item x="221"/>
        <item x="196"/>
        <item x="252"/>
        <item x="359"/>
        <item x="410"/>
        <item x="415"/>
        <item x="216"/>
        <item x="402"/>
        <item x="61"/>
        <item x="5"/>
        <item x="54"/>
        <item x="323"/>
        <item x="358"/>
        <item t="default"/>
      </items>
    </pivotField>
    <pivotField dataField="1" showAll="0"/>
    <pivotField dataField="1" showAll="0">
      <items count="493">
        <item x="219"/>
        <item x="154"/>
        <item x="226"/>
        <item x="410"/>
        <item x="334"/>
        <item x="442"/>
        <item x="421"/>
        <item x="43"/>
        <item x="290"/>
        <item x="0"/>
        <item x="419"/>
        <item x="477"/>
        <item x="215"/>
        <item x="65"/>
        <item x="107"/>
        <item x="471"/>
        <item x="466"/>
        <item x="350"/>
        <item x="352"/>
        <item x="214"/>
        <item x="136"/>
        <item x="130"/>
        <item x="249"/>
        <item x="336"/>
        <item x="362"/>
        <item x="463"/>
        <item x="323"/>
        <item x="18"/>
        <item x="2"/>
        <item x="190"/>
        <item x="12"/>
        <item x="373"/>
        <item x="94"/>
        <item x="445"/>
        <item x="389"/>
        <item x="400"/>
        <item x="269"/>
        <item x="440"/>
        <item x="447"/>
        <item x="467"/>
        <item x="262"/>
        <item x="156"/>
        <item x="374"/>
        <item x="203"/>
        <item x="35"/>
        <item x="51"/>
        <item x="367"/>
        <item x="82"/>
        <item x="396"/>
        <item x="140"/>
        <item x="144"/>
        <item x="151"/>
        <item x="296"/>
        <item x="233"/>
        <item x="283"/>
        <item x="200"/>
        <item x="101"/>
        <item x="329"/>
        <item x="479"/>
        <item x="33"/>
        <item x="56"/>
        <item x="259"/>
        <item x="22"/>
        <item x="267"/>
        <item x="263"/>
        <item x="340"/>
        <item x="456"/>
        <item x="52"/>
        <item x="446"/>
        <item x="244"/>
        <item x="376"/>
        <item x="250"/>
        <item x="108"/>
        <item x="437"/>
        <item x="133"/>
        <item x="288"/>
        <item x="365"/>
        <item x="124"/>
        <item x="461"/>
        <item x="459"/>
        <item x="197"/>
        <item x="302"/>
        <item x="388"/>
        <item x="234"/>
        <item x="313"/>
        <item x="360"/>
        <item x="370"/>
        <item x="453"/>
        <item x="113"/>
        <item x="476"/>
        <item x="135"/>
        <item x="3"/>
        <item x="49"/>
        <item x="132"/>
        <item x="179"/>
        <item x="403"/>
        <item x="413"/>
        <item x="53"/>
        <item x="85"/>
        <item x="149"/>
        <item x="255"/>
        <item x="106"/>
        <item x="36"/>
        <item x="174"/>
        <item x="448"/>
        <item x="457"/>
        <item x="193"/>
        <item x="93"/>
        <item x="118"/>
        <item x="312"/>
        <item x="490"/>
        <item x="150"/>
        <item x="72"/>
        <item x="146"/>
        <item x="211"/>
        <item x="268"/>
        <item x="429"/>
        <item x="188"/>
        <item x="37"/>
        <item x="339"/>
        <item x="6"/>
        <item x="121"/>
        <item x="27"/>
        <item x="292"/>
        <item x="279"/>
        <item x="375"/>
        <item x="465"/>
        <item x="293"/>
        <item x="172"/>
        <item x="271"/>
        <item x="79"/>
        <item x="181"/>
        <item x="116"/>
        <item x="157"/>
        <item x="452"/>
        <item x="353"/>
        <item x="239"/>
        <item x="137"/>
        <item x="415"/>
        <item x="260"/>
        <item x="345"/>
        <item x="45"/>
        <item x="30"/>
        <item x="427"/>
        <item x="152"/>
        <item x="227"/>
        <item x="491"/>
        <item x="484"/>
        <item x="159"/>
        <item x="251"/>
        <item x="372"/>
        <item x="308"/>
        <item x="482"/>
        <item x="402"/>
        <item x="98"/>
        <item x="115"/>
        <item x="306"/>
        <item x="253"/>
        <item x="276"/>
        <item x="425"/>
        <item x="383"/>
        <item x="97"/>
        <item x="169"/>
        <item x="321"/>
        <item x="326"/>
        <item x="122"/>
        <item x="24"/>
        <item x="96"/>
        <item x="100"/>
        <item x="209"/>
        <item x="299"/>
        <item x="7"/>
        <item x="343"/>
        <item x="206"/>
        <item x="474"/>
        <item x="246"/>
        <item x="129"/>
        <item x="277"/>
        <item x="381"/>
        <item x="439"/>
        <item x="281"/>
        <item x="363"/>
        <item x="382"/>
        <item x="68"/>
        <item x="397"/>
        <item x="377"/>
        <item x="282"/>
        <item x="199"/>
        <item x="180"/>
        <item x="60"/>
        <item x="297"/>
        <item x="384"/>
        <item x="161"/>
        <item x="14"/>
        <item x="284"/>
        <item x="117"/>
        <item x="67"/>
        <item x="143"/>
        <item x="168"/>
        <item x="487"/>
        <item x="26"/>
        <item x="201"/>
        <item x="305"/>
        <item x="349"/>
        <item x="11"/>
        <item x="205"/>
        <item x="89"/>
        <item x="238"/>
        <item x="405"/>
        <item x="207"/>
        <item x="139"/>
        <item x="394"/>
        <item x="324"/>
        <item x="134"/>
        <item x="47"/>
        <item x="366"/>
        <item x="166"/>
        <item x="443"/>
        <item x="386"/>
        <item x="264"/>
        <item x="127"/>
        <item x="390"/>
        <item x="408"/>
        <item x="198"/>
        <item x="71"/>
        <item x="478"/>
        <item x="92"/>
        <item x="84"/>
        <item x="291"/>
        <item x="242"/>
        <item x="399"/>
        <item x="164"/>
        <item x="278"/>
        <item x="327"/>
        <item x="315"/>
        <item x="480"/>
        <item x="464"/>
        <item x="380"/>
        <item x="74"/>
        <item x="285"/>
        <item x="208"/>
        <item x="119"/>
        <item x="109"/>
        <item x="325"/>
        <item x="187"/>
        <item x="104"/>
        <item x="236"/>
        <item x="9"/>
        <item x="432"/>
        <item x="392"/>
        <item x="28"/>
        <item x="241"/>
        <item x="182"/>
        <item x="230"/>
        <item x="385"/>
        <item x="220"/>
        <item x="99"/>
        <item x="145"/>
        <item x="454"/>
        <item x="110"/>
        <item x="489"/>
        <item x="428"/>
        <item x="473"/>
        <item x="319"/>
        <item x="274"/>
        <item x="138"/>
        <item x="57"/>
        <item x="409"/>
        <item x="342"/>
        <item x="289"/>
        <item x="210"/>
        <item x="379"/>
        <item x="286"/>
        <item x="391"/>
        <item x="48"/>
        <item x="170"/>
        <item x="414"/>
        <item x="64"/>
        <item x="17"/>
        <item x="455"/>
        <item x="294"/>
        <item x="1"/>
        <item x="87"/>
        <item x="406"/>
        <item x="335"/>
        <item x="304"/>
        <item x="155"/>
        <item x="55"/>
        <item x="90"/>
        <item x="351"/>
        <item x="298"/>
        <item x="273"/>
        <item x="66"/>
        <item x="469"/>
        <item x="44"/>
        <item x="314"/>
        <item x="266"/>
        <item x="20"/>
        <item x="423"/>
        <item x="103"/>
        <item x="436"/>
        <item x="368"/>
        <item x="426"/>
        <item x="387"/>
        <item x="50"/>
        <item x="320"/>
        <item x="422"/>
        <item x="449"/>
        <item x="131"/>
        <item x="195"/>
        <item x="258"/>
        <item x="371"/>
        <item x="460"/>
        <item x="309"/>
        <item x="483"/>
        <item x="364"/>
        <item x="337"/>
        <item x="212"/>
        <item x="245"/>
        <item x="270"/>
        <item x="229"/>
        <item x="223"/>
        <item x="318"/>
        <item x="272"/>
        <item x="401"/>
        <item x="407"/>
        <item x="420"/>
        <item x="183"/>
        <item x="63"/>
        <item x="280"/>
        <item x="359"/>
        <item x="40"/>
        <item x="475"/>
        <item x="123"/>
        <item x="59"/>
        <item x="354"/>
        <item x="224"/>
        <item x="32"/>
        <item x="395"/>
        <item x="184"/>
        <item x="450"/>
        <item x="95"/>
        <item x="424"/>
        <item x="237"/>
        <item x="411"/>
        <item x="213"/>
        <item x="114"/>
        <item x="462"/>
        <item x="15"/>
        <item x="361"/>
        <item x="357"/>
        <item x="194"/>
        <item x="300"/>
        <item x="240"/>
        <item x="275"/>
        <item x="261"/>
        <item x="356"/>
        <item x="369"/>
        <item x="431"/>
        <item x="485"/>
        <item x="416"/>
        <item x="70"/>
        <item x="83"/>
        <item x="252"/>
        <item x="102"/>
        <item x="451"/>
        <item x="16"/>
        <item x="331"/>
        <item x="417"/>
        <item x="311"/>
        <item x="88"/>
        <item x="80"/>
        <item x="301"/>
        <item x="23"/>
        <item x="189"/>
        <item x="303"/>
        <item x="153"/>
        <item x="378"/>
        <item x="46"/>
        <item x="235"/>
        <item x="126"/>
        <item x="341"/>
        <item x="31"/>
        <item x="358"/>
        <item x="348"/>
        <item x="75"/>
        <item x="10"/>
        <item x="69"/>
        <item x="38"/>
        <item x="217"/>
        <item x="338"/>
        <item x="441"/>
        <item x="105"/>
        <item x="41"/>
        <item x="13"/>
        <item x="430"/>
        <item x="218"/>
        <item x="185"/>
        <item x="81"/>
        <item x="202"/>
        <item x="162"/>
        <item x="458"/>
        <item x="433"/>
        <item x="344"/>
        <item x="317"/>
        <item x="435"/>
        <item x="330"/>
        <item x="78"/>
        <item x="287"/>
        <item x="247"/>
        <item x="86"/>
        <item x="39"/>
        <item x="128"/>
        <item x="147"/>
        <item x="481"/>
        <item x="438"/>
        <item x="295"/>
        <item x="21"/>
        <item x="316"/>
        <item x="19"/>
        <item x="228"/>
        <item x="393"/>
        <item x="163"/>
        <item x="120"/>
        <item x="204"/>
        <item x="328"/>
        <item x="472"/>
        <item x="25"/>
        <item x="29"/>
        <item x="225"/>
        <item x="171"/>
        <item x="141"/>
        <item x="160"/>
        <item x="196"/>
        <item x="42"/>
        <item x="398"/>
        <item x="322"/>
        <item x="412"/>
        <item x="470"/>
        <item x="142"/>
        <item x="192"/>
        <item x="332"/>
        <item x="333"/>
        <item x="265"/>
        <item x="148"/>
        <item x="178"/>
        <item x="488"/>
        <item x="5"/>
        <item x="231"/>
        <item x="112"/>
        <item x="404"/>
        <item x="167"/>
        <item x="125"/>
        <item x="58"/>
        <item x="186"/>
        <item x="248"/>
        <item x="173"/>
        <item x="177"/>
        <item x="34"/>
        <item x="243"/>
        <item x="310"/>
        <item x="468"/>
        <item x="256"/>
        <item x="222"/>
        <item x="91"/>
        <item x="175"/>
        <item x="347"/>
        <item x="111"/>
        <item x="62"/>
        <item x="54"/>
        <item x="77"/>
        <item x="61"/>
        <item x="73"/>
        <item x="486"/>
        <item x="307"/>
        <item x="355"/>
        <item x="346"/>
        <item x="4"/>
        <item x="418"/>
        <item x="8"/>
        <item x="176"/>
        <item x="221"/>
        <item x="158"/>
        <item x="232"/>
        <item x="257"/>
        <item x="254"/>
        <item x="434"/>
        <item x="191"/>
        <item x="216"/>
        <item x="76"/>
        <item x="444"/>
        <item x="165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9"/>
    <field x="28"/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Daily Open Sales" fld="23" subtotal="average" baseField="0" baseItem="1"/>
    <dataField name="Average of Daily Low Sales" fld="25" subtotal="average" baseField="29" baseItem="1"/>
    <dataField name="Average of Daily Close Sales" fld="26" subtotal="average" baseField="0" baseItem="1"/>
    <dataField name="Average of Daily High Sales" fld="24" subtotal="average" baseField="0" baseItem="1"/>
  </dataField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DC45D-BDAF-4888-8761-A52BF8990B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K15:AL2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numFmtId="164" showAll="0">
      <items count="166">
        <item x="145"/>
        <item x="150"/>
        <item x="61"/>
        <item x="157"/>
        <item x="35"/>
        <item x="106"/>
        <item x="149"/>
        <item x="18"/>
        <item x="3"/>
        <item x="162"/>
        <item x="109"/>
        <item x="140"/>
        <item x="121"/>
        <item x="129"/>
        <item x="27"/>
        <item x="46"/>
        <item x="32"/>
        <item x="96"/>
        <item x="72"/>
        <item x="136"/>
        <item x="1"/>
        <item x="125"/>
        <item x="128"/>
        <item x="5"/>
        <item x="158"/>
        <item x="107"/>
        <item x="133"/>
        <item x="112"/>
        <item x="68"/>
        <item x="117"/>
        <item x="113"/>
        <item x="83"/>
        <item x="17"/>
        <item x="94"/>
        <item x="77"/>
        <item x="164"/>
        <item x="132"/>
        <item x="80"/>
        <item x="59"/>
        <item x="44"/>
        <item x="34"/>
        <item x="11"/>
        <item x="135"/>
        <item x="64"/>
        <item x="26"/>
        <item x="67"/>
        <item x="97"/>
        <item x="118"/>
        <item x="16"/>
        <item x="20"/>
        <item x="4"/>
        <item x="23"/>
        <item x="0"/>
        <item x="39"/>
        <item x="53"/>
        <item x="75"/>
        <item x="134"/>
        <item x="123"/>
        <item x="56"/>
        <item x="12"/>
        <item x="105"/>
        <item x="130"/>
        <item x="10"/>
        <item x="103"/>
        <item x="87"/>
        <item x="63"/>
        <item x="143"/>
        <item x="155"/>
        <item x="139"/>
        <item x="116"/>
        <item x="102"/>
        <item x="138"/>
        <item x="93"/>
        <item x="7"/>
        <item x="108"/>
        <item x="60"/>
        <item x="160"/>
        <item x="110"/>
        <item x="13"/>
        <item x="21"/>
        <item x="24"/>
        <item x="126"/>
        <item x="122"/>
        <item x="55"/>
        <item x="142"/>
        <item x="153"/>
        <item x="154"/>
        <item x="144"/>
        <item x="38"/>
        <item x="54"/>
        <item x="98"/>
        <item x="74"/>
        <item x="90"/>
        <item x="84"/>
        <item x="86"/>
        <item x="52"/>
        <item x="58"/>
        <item x="14"/>
        <item x="8"/>
        <item x="115"/>
        <item x="73"/>
        <item x="120"/>
        <item x="30"/>
        <item x="49"/>
        <item x="111"/>
        <item x="148"/>
        <item x="127"/>
        <item x="81"/>
        <item x="146"/>
        <item x="33"/>
        <item x="43"/>
        <item x="89"/>
        <item x="71"/>
        <item x="137"/>
        <item x="51"/>
        <item x="163"/>
        <item x="22"/>
        <item x="47"/>
        <item x="19"/>
        <item x="141"/>
        <item x="2"/>
        <item x="95"/>
        <item x="152"/>
        <item x="147"/>
        <item x="41"/>
        <item x="50"/>
        <item x="76"/>
        <item x="57"/>
        <item x="88"/>
        <item x="25"/>
        <item x="29"/>
        <item x="78"/>
        <item x="151"/>
        <item x="92"/>
        <item x="28"/>
        <item x="161"/>
        <item x="37"/>
        <item x="104"/>
        <item x="131"/>
        <item x="48"/>
        <item x="100"/>
        <item x="36"/>
        <item x="82"/>
        <item x="124"/>
        <item x="6"/>
        <item x="66"/>
        <item x="15"/>
        <item x="101"/>
        <item x="119"/>
        <item x="91"/>
        <item x="31"/>
        <item x="159"/>
        <item x="62"/>
        <item x="69"/>
        <item x="79"/>
        <item x="70"/>
        <item x="156"/>
        <item x="85"/>
        <item x="42"/>
        <item x="9"/>
        <item x="45"/>
        <item x="114"/>
        <item x="65"/>
        <item x="40"/>
        <item x="99"/>
        <item t="default"/>
      </items>
    </pivotField>
    <pivotField axis="axisRow" showAll="0">
      <items count="7">
        <item x="1"/>
        <item x="0"/>
        <item x="4"/>
        <item x="5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89126-E843-414F-9323-B86CD64016D3}" name="Table1" displayName="Table1" ref="A1:AB501" totalsRowShown="0">
  <autoFilter ref="A1:AB501" xr:uid="{2D089126-E843-414F-9323-B86CD64016D3}"/>
  <tableColumns count="28">
    <tableColumn id="1" xr3:uid="{A411F55B-B4D2-458C-AE23-B2B23532E182}" name="Store ID"/>
    <tableColumn id="2" xr3:uid="{A16A901C-1042-4791-A659-AF9AF18F03AE}" name="Store Name"/>
    <tableColumn id="3" xr3:uid="{77049C2B-AA09-4ADE-832C-8D41AEE546FC}" name="Country"/>
    <tableColumn id="4" xr3:uid="{95734CF4-D8C6-464A-8BF4-B9AB62664DF0}" name="State"/>
    <tableColumn id="5" xr3:uid="{C79310EC-9326-40F8-89A1-6125477366FE}" name="City"/>
    <tableColumn id="6" xr3:uid="{AC5C20C3-858B-4DEB-8A7D-DA028BF21645}" name="Region"/>
    <tableColumn id="7" xr3:uid="{517B4371-01A7-4684-90AD-84EF45D45EB6}" name="Date" dataDxfId="0"/>
    <tableColumn id="8" xr3:uid="{42C1C612-35C1-4BC2-8CCF-B23DD1990F56}" name="Month"/>
    <tableColumn id="9" xr3:uid="{1A0A4609-6A60-41B0-B21F-EC26805F5912}" name="Product Category"/>
    <tableColumn id="10" xr3:uid="{D41D1A14-FBC4-451F-B47D-B94653D1FF2B}" name="Product Name"/>
    <tableColumn id="11" xr3:uid="{C8EE2A67-83C5-4967-8E6B-10B8C27A1EB2}" name="Salesperson"/>
    <tableColumn id="12" xr3:uid="{5B4D3B8F-041B-4F58-BA86-10CE01CE100D}" name="Units Sold"/>
    <tableColumn id="13" xr3:uid="{91169697-22CA-4697-BDC6-245764C89D14}" name="Sales Amount"/>
    <tableColumn id="14" xr3:uid="{B7F9D4AD-55E4-46BD-85B5-B9F1DF33C60C}" name="Cost"/>
    <tableColumn id="15" xr3:uid="{9269F410-0890-4521-BA6B-C4C0E939BCF8}" name="Profit"/>
    <tableColumn id="16" xr3:uid="{6ABEA644-7FDF-4643-A307-4009470443E8}" name="Customer Visits"/>
    <tableColumn id="17" xr3:uid="{D63ABDDF-ADC7-4519-A84A-E6BC88DBEE60}" name="Avg Rating"/>
    <tableColumn id="18" xr3:uid="{36FF1C5C-1D6D-45FC-8323-79CA3A6FC3BD}" name="Discount %"/>
    <tableColumn id="19" xr3:uid="{EAF2B67D-1600-46B3-8FB8-ECBCED4BBE92}" name="Payment Mode"/>
    <tableColumn id="20" xr3:uid="{29CB3651-A4E0-4F71-8D29-9339A630D174}" name="Membership Type"/>
    <tableColumn id="21" xr3:uid="{11A098A3-C50A-4D00-A2B2-0342EAD38C22}" name="Order Status"/>
    <tableColumn id="22" xr3:uid="{BFF44B84-1DAB-4228-BCD5-65236C31327A}" name="Latitude"/>
    <tableColumn id="23" xr3:uid="{3F7AC1B0-58C2-4629-BAF4-6437E4DB4339}" name="Longitude"/>
    <tableColumn id="24" xr3:uid="{B4B27E3C-539C-472B-990E-8360455E3DAC}" name="Daily Open Sales"/>
    <tableColumn id="25" xr3:uid="{762C117A-773D-4859-8EA0-2CDBF66B71F8}" name="Daily High Sales"/>
    <tableColumn id="26" xr3:uid="{9D1058DD-EB6E-4343-9DF8-176A7E905856}" name="Daily Low Sales"/>
    <tableColumn id="27" xr3:uid="{A15742C9-6084-4772-8E47-BF1F2C211A1B}" name="Daily Close Sales"/>
    <tableColumn id="28" xr3:uid="{5B6F4EC1-8C84-415A-AC29-82D9C0A17DC4}" name="Lead Stage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28D26-1D23-4496-95F8-F63846E06BF1}" name="Table2" displayName="Table2" ref="AD2:AF8" totalsRowShown="0">
  <autoFilter ref="AD2:AF8" xr:uid="{88728D26-1D23-4496-95F8-F63846E06BF1}"/>
  <tableColumns count="3">
    <tableColumn id="1" xr3:uid="{427C0976-DAFD-4DEB-8F61-EAFA4A4C983A}" name="Column1"/>
    <tableColumn id="2" xr3:uid="{6C75C698-FE95-4434-AE78-71DC6DD60BAE}" name="Column2"/>
    <tableColumn id="3" xr3:uid="{A9794ECC-AA61-4100-9B85-1040672C38E1}" name="Column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EAB2-F321-4228-86CB-1E31989E6E8F}">
  <dimension ref="A1"/>
  <sheetViews>
    <sheetView topLeftCell="A2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1"/>
  <sheetViews>
    <sheetView tabSelected="1" topLeftCell="AR1" zoomScale="94" zoomScaleNormal="90" workbookViewId="0">
      <selection activeCell="AH3" sqref="AH3:AI7"/>
    </sheetView>
  </sheetViews>
  <sheetFormatPr defaultRowHeight="14.4" x14ac:dyDescent="0.3"/>
  <cols>
    <col min="1" max="1" width="9.5546875" customWidth="1"/>
    <col min="2" max="2" width="12.77734375" customWidth="1"/>
    <col min="3" max="3" width="9.6640625" customWidth="1"/>
    <col min="7" max="7" width="16" customWidth="1"/>
    <col min="9" max="9" width="17.5546875" customWidth="1"/>
    <col min="10" max="10" width="15" customWidth="1"/>
    <col min="11" max="11" width="12.88671875" customWidth="1"/>
    <col min="12" max="12" width="11.33203125" customWidth="1"/>
    <col min="13" max="13" width="14.44140625" customWidth="1"/>
    <col min="16" max="16" width="15.77734375" customWidth="1"/>
    <col min="17" max="17" width="11.88671875" customWidth="1"/>
    <col min="18" max="18" width="12.109375" customWidth="1"/>
    <col min="19" max="19" width="15.88671875" customWidth="1"/>
    <col min="20" max="20" width="18.109375" customWidth="1"/>
    <col min="21" max="21" width="13.33203125" customWidth="1"/>
    <col min="22" max="22" width="9.77734375" customWidth="1"/>
    <col min="23" max="23" width="11.33203125" customWidth="1"/>
    <col min="24" max="24" width="16.6640625" customWidth="1"/>
    <col min="25" max="25" width="15.88671875" customWidth="1"/>
    <col min="26" max="26" width="15.5546875" customWidth="1"/>
    <col min="27" max="27" width="16.5546875" customWidth="1"/>
    <col min="28" max="28" width="12" customWidth="1"/>
    <col min="30" max="30" width="10.5546875" customWidth="1"/>
    <col min="31" max="31" width="13.44140625" bestFit="1" customWidth="1"/>
    <col min="32" max="32" width="19.88671875" bestFit="1" customWidth="1"/>
    <col min="33" max="33" width="5.5546875" bestFit="1" customWidth="1"/>
    <col min="34" max="34" width="13.44140625" bestFit="1" customWidth="1"/>
    <col min="35" max="35" width="19.88671875" bestFit="1" customWidth="1"/>
    <col min="36" max="36" width="5.5546875" bestFit="1" customWidth="1"/>
    <col min="37" max="37" width="13.44140625" bestFit="1" customWidth="1"/>
    <col min="38" max="38" width="19.88671875" bestFit="1" customWidth="1"/>
    <col min="39" max="39" width="5.5546875" bestFit="1" customWidth="1"/>
    <col min="40" max="40" width="13.44140625" bestFit="1" customWidth="1"/>
    <col min="41" max="41" width="23.21875" bestFit="1" customWidth="1"/>
    <col min="42" max="42" width="5.5546875" bestFit="1" customWidth="1"/>
    <col min="43" max="43" width="13.44140625" bestFit="1" customWidth="1"/>
    <col min="44" max="44" width="18.5546875" bestFit="1" customWidth="1"/>
    <col min="45" max="45" width="24.6640625" bestFit="1" customWidth="1"/>
    <col min="46" max="46" width="25.77734375" bestFit="1" customWidth="1"/>
    <col min="47" max="47" width="25" bestFit="1" customWidth="1"/>
    <col min="48" max="291" width="5.5546875" bestFit="1" customWidth="1"/>
    <col min="292" max="518" width="6.6640625" bestFit="1" customWidth="1"/>
    <col min="519" max="519" width="11.21875" bestFit="1" customWidth="1"/>
    <col min="520" max="520" width="10.33203125" bestFit="1" customWidth="1"/>
    <col min="521" max="521" width="7.44140625" bestFit="1" customWidth="1"/>
    <col min="522" max="522" width="10.33203125" bestFit="1" customWidth="1"/>
    <col min="523" max="523" width="7.44140625" bestFit="1" customWidth="1"/>
    <col min="524" max="524" width="10.33203125" bestFit="1" customWidth="1"/>
    <col min="525" max="525" width="9.33203125" bestFit="1" customWidth="1"/>
    <col min="526" max="526" width="10.33203125" bestFit="1" customWidth="1"/>
    <col min="527" max="527" width="7.44140625" bestFit="1" customWidth="1"/>
    <col min="528" max="528" width="10.33203125" bestFit="1" customWidth="1"/>
    <col min="529" max="529" width="7.44140625" bestFit="1" customWidth="1"/>
    <col min="530" max="530" width="10.33203125" bestFit="1" customWidth="1"/>
    <col min="531" max="531" width="7.44140625" bestFit="1" customWidth="1"/>
    <col min="532" max="532" width="10.33203125" bestFit="1" customWidth="1"/>
    <col min="533" max="533" width="7.44140625" bestFit="1" customWidth="1"/>
    <col min="534" max="534" width="10.33203125" bestFit="1" customWidth="1"/>
    <col min="535" max="535" width="7.44140625" bestFit="1" customWidth="1"/>
    <col min="536" max="536" width="10.33203125" bestFit="1" customWidth="1"/>
    <col min="537" max="537" width="9.33203125" bestFit="1" customWidth="1"/>
    <col min="538" max="538" width="10.33203125" bestFit="1" customWidth="1"/>
    <col min="539" max="539" width="7.44140625" bestFit="1" customWidth="1"/>
    <col min="540" max="540" width="10.33203125" bestFit="1" customWidth="1"/>
    <col min="541" max="542" width="7.44140625" bestFit="1" customWidth="1"/>
    <col min="543" max="543" width="10.33203125" bestFit="1" customWidth="1"/>
    <col min="544" max="544" width="8.5546875" bestFit="1" customWidth="1"/>
    <col min="545" max="545" width="11.44140625" bestFit="1" customWidth="1"/>
    <col min="546" max="546" width="9.33203125" bestFit="1" customWidth="1"/>
    <col min="547" max="547" width="11.44140625" bestFit="1" customWidth="1"/>
    <col min="548" max="548" width="9.33203125" bestFit="1" customWidth="1"/>
    <col min="549" max="549" width="11.44140625" bestFit="1" customWidth="1"/>
    <col min="550" max="550" width="8.5546875" bestFit="1" customWidth="1"/>
    <col min="551" max="551" width="11.44140625" bestFit="1" customWidth="1"/>
    <col min="552" max="552" width="8.5546875" bestFit="1" customWidth="1"/>
    <col min="553" max="553" width="11.44140625" bestFit="1" customWidth="1"/>
    <col min="554" max="555" width="8.5546875" bestFit="1" customWidth="1"/>
    <col min="556" max="556" width="11.44140625" bestFit="1" customWidth="1"/>
    <col min="557" max="557" width="8.5546875" bestFit="1" customWidth="1"/>
    <col min="558" max="558" width="11.44140625" bestFit="1" customWidth="1"/>
    <col min="559" max="559" width="9.33203125" bestFit="1" customWidth="1"/>
    <col min="560" max="560" width="11.44140625" bestFit="1" customWidth="1"/>
    <col min="561" max="561" width="8.5546875" bestFit="1" customWidth="1"/>
    <col min="562" max="562" width="11.44140625" bestFit="1" customWidth="1"/>
    <col min="563" max="563" width="9.33203125" bestFit="1" customWidth="1"/>
    <col min="564" max="564" width="11.44140625" bestFit="1" customWidth="1"/>
    <col min="565" max="565" width="8.5546875" bestFit="1" customWidth="1"/>
    <col min="566" max="566" width="11.44140625" bestFit="1" customWidth="1"/>
    <col min="567" max="567" width="8.5546875" bestFit="1" customWidth="1"/>
    <col min="568" max="568" width="11.44140625" bestFit="1" customWidth="1"/>
    <col min="569" max="569" width="9.33203125" bestFit="1" customWidth="1"/>
    <col min="570" max="570" width="11.44140625" bestFit="1" customWidth="1"/>
    <col min="571" max="571" width="8.5546875" bestFit="1" customWidth="1"/>
    <col min="572" max="572" width="11.44140625" bestFit="1" customWidth="1"/>
    <col min="573" max="573" width="8.5546875" bestFit="1" customWidth="1"/>
    <col min="574" max="574" width="11.44140625" bestFit="1" customWidth="1"/>
    <col min="575" max="575" width="8.5546875" bestFit="1" customWidth="1"/>
    <col min="576" max="576" width="11.44140625" bestFit="1" customWidth="1"/>
    <col min="577" max="577" width="8.5546875" bestFit="1" customWidth="1"/>
    <col min="578" max="578" width="11.44140625" bestFit="1" customWidth="1"/>
    <col min="579" max="579" width="9.33203125" bestFit="1" customWidth="1"/>
    <col min="580" max="580" width="11.44140625" bestFit="1" customWidth="1"/>
    <col min="581" max="581" width="8.5546875" bestFit="1" customWidth="1"/>
    <col min="582" max="582" width="11.44140625" bestFit="1" customWidth="1"/>
    <col min="583" max="583" width="9.33203125" bestFit="1" customWidth="1"/>
    <col min="584" max="584" width="11.44140625" bestFit="1" customWidth="1"/>
    <col min="585" max="585" width="8.5546875" bestFit="1" customWidth="1"/>
    <col min="586" max="586" width="11.44140625" bestFit="1" customWidth="1"/>
    <col min="587" max="587" width="8.5546875" bestFit="1" customWidth="1"/>
    <col min="588" max="588" width="11.44140625" bestFit="1" customWidth="1"/>
    <col min="589" max="589" width="8.5546875" bestFit="1" customWidth="1"/>
    <col min="590" max="590" width="11.44140625" bestFit="1" customWidth="1"/>
    <col min="591" max="591" width="8.5546875" bestFit="1" customWidth="1"/>
    <col min="592" max="592" width="11.44140625" bestFit="1" customWidth="1"/>
    <col min="593" max="593" width="9.33203125" bestFit="1" customWidth="1"/>
    <col min="594" max="594" width="11.44140625" bestFit="1" customWidth="1"/>
    <col min="595" max="595" width="9.33203125" bestFit="1" customWidth="1"/>
    <col min="596" max="596" width="11.44140625" bestFit="1" customWidth="1"/>
    <col min="597" max="597" width="8.5546875" bestFit="1" customWidth="1"/>
    <col min="598" max="598" width="11.44140625" bestFit="1" customWidth="1"/>
    <col min="599" max="599" width="8.5546875" bestFit="1" customWidth="1"/>
    <col min="600" max="600" width="11.44140625" bestFit="1" customWidth="1"/>
    <col min="601" max="601" width="8.5546875" bestFit="1" customWidth="1"/>
    <col min="602" max="602" width="11.44140625" bestFit="1" customWidth="1"/>
    <col min="603" max="603" width="9.33203125" bestFit="1" customWidth="1"/>
    <col min="604" max="604" width="11.44140625" bestFit="1" customWidth="1"/>
    <col min="605" max="605" width="8.5546875" bestFit="1" customWidth="1"/>
    <col min="606" max="606" width="11.44140625" bestFit="1" customWidth="1"/>
    <col min="607" max="607" width="9.33203125" bestFit="1" customWidth="1"/>
    <col min="608" max="608" width="11.44140625" bestFit="1" customWidth="1"/>
    <col min="609" max="609" width="8.5546875" bestFit="1" customWidth="1"/>
    <col min="610" max="610" width="11.44140625" bestFit="1" customWidth="1"/>
    <col min="611" max="611" width="8.5546875" bestFit="1" customWidth="1"/>
    <col min="612" max="612" width="11.44140625" bestFit="1" customWidth="1"/>
    <col min="613" max="613" width="8.5546875" bestFit="1" customWidth="1"/>
    <col min="614" max="614" width="11.44140625" bestFit="1" customWidth="1"/>
    <col min="615" max="615" width="9.33203125" bestFit="1" customWidth="1"/>
    <col min="616" max="616" width="11.44140625" bestFit="1" customWidth="1"/>
    <col min="617" max="617" width="8.5546875" bestFit="1" customWidth="1"/>
    <col min="618" max="618" width="11.44140625" bestFit="1" customWidth="1"/>
    <col min="619" max="619" width="8.5546875" bestFit="1" customWidth="1"/>
    <col min="620" max="620" width="11.44140625" bestFit="1" customWidth="1"/>
    <col min="621" max="621" width="8.5546875" bestFit="1" customWidth="1"/>
    <col min="622" max="622" width="11.44140625" bestFit="1" customWidth="1"/>
    <col min="623" max="623" width="8.5546875" bestFit="1" customWidth="1"/>
    <col min="624" max="624" width="11.44140625" bestFit="1" customWidth="1"/>
    <col min="625" max="625" width="8.5546875" bestFit="1" customWidth="1"/>
    <col min="626" max="626" width="11.44140625" bestFit="1" customWidth="1"/>
    <col min="627" max="627" width="8.5546875" bestFit="1" customWidth="1"/>
    <col min="628" max="628" width="11.44140625" bestFit="1" customWidth="1"/>
    <col min="629" max="629" width="9.33203125" bestFit="1" customWidth="1"/>
    <col min="630" max="630" width="11.44140625" bestFit="1" customWidth="1"/>
    <col min="631" max="631" width="8.5546875" bestFit="1" customWidth="1"/>
    <col min="632" max="632" width="11.44140625" bestFit="1" customWidth="1"/>
    <col min="633" max="633" width="8.5546875" bestFit="1" customWidth="1"/>
    <col min="634" max="634" width="11.44140625" bestFit="1" customWidth="1"/>
    <col min="635" max="635" width="8.5546875" bestFit="1" customWidth="1"/>
    <col min="636" max="636" width="11.44140625" bestFit="1" customWidth="1"/>
    <col min="637" max="637" width="9.33203125" bestFit="1" customWidth="1"/>
    <col min="638" max="638" width="11.44140625" bestFit="1" customWidth="1"/>
    <col min="639" max="639" width="9.33203125" bestFit="1" customWidth="1"/>
    <col min="640" max="640" width="11.44140625" bestFit="1" customWidth="1"/>
    <col min="641" max="641" width="8.5546875" bestFit="1" customWidth="1"/>
    <col min="642" max="642" width="11.44140625" bestFit="1" customWidth="1"/>
    <col min="643" max="643" width="9.33203125" bestFit="1" customWidth="1"/>
    <col min="644" max="644" width="11.44140625" bestFit="1" customWidth="1"/>
    <col min="645" max="645" width="8.5546875" bestFit="1" customWidth="1"/>
    <col min="646" max="646" width="11.44140625" bestFit="1" customWidth="1"/>
    <col min="647" max="647" width="8.5546875" bestFit="1" customWidth="1"/>
    <col min="648" max="648" width="11.44140625" bestFit="1" customWidth="1"/>
    <col min="649" max="649" width="8.5546875" bestFit="1" customWidth="1"/>
    <col min="650" max="650" width="11.44140625" bestFit="1" customWidth="1"/>
    <col min="651" max="651" width="8.5546875" bestFit="1" customWidth="1"/>
    <col min="652" max="652" width="11.44140625" bestFit="1" customWidth="1"/>
    <col min="653" max="653" width="8.5546875" bestFit="1" customWidth="1"/>
    <col min="654" max="654" width="11.44140625" bestFit="1" customWidth="1"/>
    <col min="655" max="656" width="9.33203125" bestFit="1" customWidth="1"/>
    <col min="657" max="657" width="11.44140625" bestFit="1" customWidth="1"/>
    <col min="658" max="658" width="8.5546875" bestFit="1" customWidth="1"/>
    <col min="659" max="659" width="11.44140625" bestFit="1" customWidth="1"/>
    <col min="660" max="660" width="8.5546875" bestFit="1" customWidth="1"/>
    <col min="661" max="661" width="11.44140625" bestFit="1" customWidth="1"/>
    <col min="662" max="662" width="8.5546875" bestFit="1" customWidth="1"/>
    <col min="663" max="663" width="11.44140625" bestFit="1" customWidth="1"/>
    <col min="664" max="664" width="9.33203125" bestFit="1" customWidth="1"/>
    <col min="665" max="665" width="11.44140625" bestFit="1" customWidth="1"/>
    <col min="666" max="666" width="8.5546875" bestFit="1" customWidth="1"/>
    <col min="667" max="667" width="11.44140625" bestFit="1" customWidth="1"/>
    <col min="668" max="668" width="8.5546875" bestFit="1" customWidth="1"/>
    <col min="669" max="669" width="11.44140625" bestFit="1" customWidth="1"/>
    <col min="670" max="670" width="8.5546875" bestFit="1" customWidth="1"/>
    <col min="671" max="671" width="11.44140625" bestFit="1" customWidth="1"/>
    <col min="672" max="672" width="8.5546875" bestFit="1" customWidth="1"/>
    <col min="673" max="673" width="11.44140625" bestFit="1" customWidth="1"/>
    <col min="674" max="674" width="8.5546875" bestFit="1" customWidth="1"/>
    <col min="675" max="675" width="11.44140625" bestFit="1" customWidth="1"/>
    <col min="676" max="676" width="8.5546875" bestFit="1" customWidth="1"/>
    <col min="677" max="677" width="11.44140625" bestFit="1" customWidth="1"/>
    <col min="678" max="678" width="8.5546875" bestFit="1" customWidth="1"/>
    <col min="679" max="679" width="11.44140625" bestFit="1" customWidth="1"/>
    <col min="680" max="680" width="8.5546875" bestFit="1" customWidth="1"/>
    <col min="681" max="681" width="11.44140625" bestFit="1" customWidth="1"/>
    <col min="682" max="682" width="8.5546875" bestFit="1" customWidth="1"/>
    <col min="683" max="683" width="11.44140625" bestFit="1" customWidth="1"/>
    <col min="684" max="684" width="8.5546875" bestFit="1" customWidth="1"/>
    <col min="685" max="685" width="11.44140625" bestFit="1" customWidth="1"/>
    <col min="686" max="686" width="9.33203125" bestFit="1" customWidth="1"/>
    <col min="687" max="687" width="11.44140625" bestFit="1" customWidth="1"/>
    <col min="688" max="688" width="8.5546875" bestFit="1" customWidth="1"/>
    <col min="689" max="689" width="11.44140625" bestFit="1" customWidth="1"/>
    <col min="690" max="690" width="8.5546875" bestFit="1" customWidth="1"/>
    <col min="691" max="691" width="11.44140625" bestFit="1" customWidth="1"/>
    <col min="692" max="693" width="9.33203125" bestFit="1" customWidth="1"/>
    <col min="694" max="694" width="11.44140625" bestFit="1" customWidth="1"/>
    <col min="695" max="695" width="8.5546875" bestFit="1" customWidth="1"/>
    <col min="696" max="696" width="11.44140625" bestFit="1" customWidth="1"/>
    <col min="697" max="697" width="8.5546875" bestFit="1" customWidth="1"/>
    <col min="698" max="698" width="11.44140625" bestFit="1" customWidth="1"/>
    <col min="699" max="699" width="9.33203125" bestFit="1" customWidth="1"/>
    <col min="700" max="700" width="11.44140625" bestFit="1" customWidth="1"/>
    <col min="701" max="701" width="8.5546875" bestFit="1" customWidth="1"/>
    <col min="702" max="702" width="11.44140625" bestFit="1" customWidth="1"/>
    <col min="703" max="703" width="9.33203125" bestFit="1" customWidth="1"/>
    <col min="704" max="704" width="11.44140625" bestFit="1" customWidth="1"/>
    <col min="705" max="705" width="8.5546875" bestFit="1" customWidth="1"/>
    <col min="706" max="706" width="11.44140625" bestFit="1" customWidth="1"/>
    <col min="707" max="707" width="8.5546875" bestFit="1" customWidth="1"/>
    <col min="708" max="708" width="11.44140625" bestFit="1" customWidth="1"/>
    <col min="709" max="709" width="8.5546875" bestFit="1" customWidth="1"/>
    <col min="710" max="710" width="11.44140625" bestFit="1" customWidth="1"/>
    <col min="711" max="711" width="8.5546875" bestFit="1" customWidth="1"/>
    <col min="712" max="712" width="11.44140625" bestFit="1" customWidth="1"/>
    <col min="713" max="713" width="8.5546875" bestFit="1" customWidth="1"/>
    <col min="714" max="714" width="11.44140625" bestFit="1" customWidth="1"/>
    <col min="715" max="715" width="9.33203125" bestFit="1" customWidth="1"/>
    <col min="716" max="716" width="11.44140625" bestFit="1" customWidth="1"/>
    <col min="717" max="717" width="9.33203125" bestFit="1" customWidth="1"/>
    <col min="718" max="718" width="11.44140625" bestFit="1" customWidth="1"/>
    <col min="719" max="719" width="8.5546875" bestFit="1" customWidth="1"/>
    <col min="720" max="720" width="11.44140625" bestFit="1" customWidth="1"/>
    <col min="721" max="721" width="8.5546875" bestFit="1" customWidth="1"/>
    <col min="722" max="722" width="11.44140625" bestFit="1" customWidth="1"/>
    <col min="723" max="723" width="8.5546875" bestFit="1" customWidth="1"/>
    <col min="724" max="724" width="11.44140625" bestFit="1" customWidth="1"/>
    <col min="725" max="725" width="8.5546875" bestFit="1" customWidth="1"/>
    <col min="726" max="726" width="11.44140625" bestFit="1" customWidth="1"/>
    <col min="727" max="727" width="8.5546875" bestFit="1" customWidth="1"/>
    <col min="728" max="728" width="11.44140625" bestFit="1" customWidth="1"/>
    <col min="729" max="730" width="9.33203125" bestFit="1" customWidth="1"/>
    <col min="731" max="731" width="11.44140625" bestFit="1" customWidth="1"/>
    <col min="732" max="732" width="8.5546875" bestFit="1" customWidth="1"/>
    <col min="733" max="733" width="11.44140625" bestFit="1" customWidth="1"/>
    <col min="734" max="734" width="8.5546875" bestFit="1" customWidth="1"/>
    <col min="735" max="735" width="11.44140625" bestFit="1" customWidth="1"/>
    <col min="736" max="736" width="8.5546875" bestFit="1" customWidth="1"/>
    <col min="737" max="737" width="11.44140625" bestFit="1" customWidth="1"/>
    <col min="738" max="738" width="8.5546875" bestFit="1" customWidth="1"/>
    <col min="739" max="739" width="11.44140625" bestFit="1" customWidth="1"/>
    <col min="740" max="740" width="8.5546875" bestFit="1" customWidth="1"/>
    <col min="741" max="741" width="11.44140625" bestFit="1" customWidth="1"/>
    <col min="742" max="742" width="9.33203125" bestFit="1" customWidth="1"/>
    <col min="743" max="743" width="11.44140625" bestFit="1" customWidth="1"/>
    <col min="744" max="744" width="8.5546875" bestFit="1" customWidth="1"/>
    <col min="745" max="745" width="11.44140625" bestFit="1" customWidth="1"/>
    <col min="746" max="746" width="8.5546875" bestFit="1" customWidth="1"/>
    <col min="747" max="747" width="11.44140625" bestFit="1" customWidth="1"/>
    <col min="748" max="748" width="9.33203125" bestFit="1" customWidth="1"/>
    <col min="749" max="749" width="11.44140625" bestFit="1" customWidth="1"/>
    <col min="750" max="750" width="8.5546875" bestFit="1" customWidth="1"/>
    <col min="751" max="751" width="11.44140625" bestFit="1" customWidth="1"/>
    <col min="752" max="752" width="9.33203125" bestFit="1" customWidth="1"/>
    <col min="753" max="753" width="11.44140625" bestFit="1" customWidth="1"/>
    <col min="754" max="754" width="9.33203125" bestFit="1" customWidth="1"/>
    <col min="755" max="755" width="11.44140625" bestFit="1" customWidth="1"/>
    <col min="756" max="757" width="8.5546875" bestFit="1" customWidth="1"/>
    <col min="758" max="758" width="11.44140625" bestFit="1" customWidth="1"/>
    <col min="759" max="759" width="9.33203125" bestFit="1" customWidth="1"/>
    <col min="760" max="760" width="11.44140625" bestFit="1" customWidth="1"/>
    <col min="761" max="761" width="8.5546875" bestFit="1" customWidth="1"/>
    <col min="762" max="762" width="11.44140625" bestFit="1" customWidth="1"/>
    <col min="763" max="763" width="8.5546875" bestFit="1" customWidth="1"/>
    <col min="764" max="764" width="11.44140625" bestFit="1" customWidth="1"/>
    <col min="765" max="765" width="8.5546875" bestFit="1" customWidth="1"/>
    <col min="766" max="766" width="11.44140625" bestFit="1" customWidth="1"/>
    <col min="767" max="767" width="8.5546875" bestFit="1" customWidth="1"/>
    <col min="768" max="768" width="11.44140625" bestFit="1" customWidth="1"/>
    <col min="769" max="769" width="8.5546875" bestFit="1" customWidth="1"/>
    <col min="770" max="770" width="11.44140625" bestFit="1" customWidth="1"/>
    <col min="771" max="771" width="8.5546875" bestFit="1" customWidth="1"/>
    <col min="772" max="772" width="11.44140625" bestFit="1" customWidth="1"/>
    <col min="773" max="773" width="8.5546875" bestFit="1" customWidth="1"/>
    <col min="774" max="774" width="11.44140625" bestFit="1" customWidth="1"/>
    <col min="775" max="775" width="8.5546875" bestFit="1" customWidth="1"/>
    <col min="776" max="776" width="11.44140625" bestFit="1" customWidth="1"/>
    <col min="777" max="777" width="8.5546875" bestFit="1" customWidth="1"/>
    <col min="778" max="778" width="11.44140625" bestFit="1" customWidth="1"/>
    <col min="779" max="779" width="8.5546875" bestFit="1" customWidth="1"/>
    <col min="780" max="780" width="11.44140625" bestFit="1" customWidth="1"/>
    <col min="781" max="781" width="8.5546875" bestFit="1" customWidth="1"/>
    <col min="782" max="782" width="11.44140625" bestFit="1" customWidth="1"/>
    <col min="783" max="783" width="8.5546875" bestFit="1" customWidth="1"/>
    <col min="784" max="784" width="11.44140625" bestFit="1" customWidth="1"/>
    <col min="785" max="785" width="9.33203125" bestFit="1" customWidth="1"/>
    <col min="786" max="786" width="11.44140625" bestFit="1" customWidth="1"/>
    <col min="787" max="787" width="8.5546875" bestFit="1" customWidth="1"/>
    <col min="788" max="788" width="11.44140625" bestFit="1" customWidth="1"/>
    <col min="789" max="789" width="8.5546875" bestFit="1" customWidth="1"/>
    <col min="790" max="790" width="11.44140625" bestFit="1" customWidth="1"/>
    <col min="791" max="791" width="8.5546875" bestFit="1" customWidth="1"/>
    <col min="792" max="792" width="11.44140625" bestFit="1" customWidth="1"/>
    <col min="793" max="793" width="9.33203125" bestFit="1" customWidth="1"/>
    <col min="794" max="794" width="11.44140625" bestFit="1" customWidth="1"/>
    <col min="795" max="795" width="8.5546875" bestFit="1" customWidth="1"/>
    <col min="796" max="796" width="11.44140625" bestFit="1" customWidth="1"/>
    <col min="797" max="797" width="8.5546875" bestFit="1" customWidth="1"/>
    <col min="798" max="798" width="11.44140625" bestFit="1" customWidth="1"/>
    <col min="799" max="799" width="9.33203125" bestFit="1" customWidth="1"/>
    <col min="800" max="800" width="11.44140625" bestFit="1" customWidth="1"/>
    <col min="801" max="801" width="9.33203125" bestFit="1" customWidth="1"/>
    <col min="802" max="802" width="11.44140625" bestFit="1" customWidth="1"/>
    <col min="803" max="803" width="9.33203125" bestFit="1" customWidth="1"/>
    <col min="804" max="804" width="11.44140625" bestFit="1" customWidth="1"/>
    <col min="805" max="805" width="8.5546875" bestFit="1" customWidth="1"/>
    <col min="806" max="806" width="11.44140625" bestFit="1" customWidth="1"/>
    <col min="807" max="807" width="8.5546875" bestFit="1" customWidth="1"/>
    <col min="808" max="808" width="11.44140625" bestFit="1" customWidth="1"/>
    <col min="809" max="809" width="9.33203125" bestFit="1" customWidth="1"/>
    <col min="810" max="810" width="11.44140625" bestFit="1" customWidth="1"/>
    <col min="811" max="811" width="8.5546875" bestFit="1" customWidth="1"/>
    <col min="812" max="812" width="11.44140625" bestFit="1" customWidth="1"/>
    <col min="813" max="813" width="8.5546875" bestFit="1" customWidth="1"/>
    <col min="814" max="814" width="11.44140625" bestFit="1" customWidth="1"/>
    <col min="815" max="815" width="8.5546875" bestFit="1" customWidth="1"/>
    <col min="816" max="816" width="11.44140625" bestFit="1" customWidth="1"/>
    <col min="817" max="817" width="8.5546875" bestFit="1" customWidth="1"/>
    <col min="818" max="818" width="11.44140625" bestFit="1" customWidth="1"/>
    <col min="819" max="819" width="8.5546875" bestFit="1" customWidth="1"/>
    <col min="820" max="820" width="11.44140625" bestFit="1" customWidth="1"/>
    <col min="821" max="821" width="9.33203125" bestFit="1" customWidth="1"/>
    <col min="822" max="822" width="11.44140625" bestFit="1" customWidth="1"/>
    <col min="823" max="823" width="9.33203125" bestFit="1" customWidth="1"/>
    <col min="824" max="824" width="11.44140625" bestFit="1" customWidth="1"/>
    <col min="825" max="825" width="9.33203125" bestFit="1" customWidth="1"/>
    <col min="826" max="826" width="11.44140625" bestFit="1" customWidth="1"/>
    <col min="827" max="827" width="8.5546875" bestFit="1" customWidth="1"/>
    <col min="828" max="828" width="11.44140625" bestFit="1" customWidth="1"/>
    <col min="829" max="829" width="9.33203125" bestFit="1" customWidth="1"/>
    <col min="830" max="830" width="11.44140625" bestFit="1" customWidth="1"/>
    <col min="831" max="831" width="8.5546875" bestFit="1" customWidth="1"/>
    <col min="832" max="832" width="11.44140625" bestFit="1" customWidth="1"/>
    <col min="833" max="833" width="8.5546875" bestFit="1" customWidth="1"/>
    <col min="834" max="834" width="11.44140625" bestFit="1" customWidth="1"/>
    <col min="835" max="835" width="8.5546875" bestFit="1" customWidth="1"/>
    <col min="836" max="836" width="11.44140625" bestFit="1" customWidth="1"/>
    <col min="837" max="837" width="8.5546875" bestFit="1" customWidth="1"/>
    <col min="838" max="838" width="11.44140625" bestFit="1" customWidth="1"/>
    <col min="839" max="839" width="8.5546875" bestFit="1" customWidth="1"/>
    <col min="840" max="840" width="11.44140625" bestFit="1" customWidth="1"/>
    <col min="841" max="841" width="9.33203125" bestFit="1" customWidth="1"/>
    <col min="842" max="842" width="11.44140625" bestFit="1" customWidth="1"/>
    <col min="843" max="844" width="9.33203125" bestFit="1" customWidth="1"/>
    <col min="845" max="845" width="11.44140625" bestFit="1" customWidth="1"/>
    <col min="846" max="846" width="9.33203125" bestFit="1" customWidth="1"/>
    <col min="847" max="847" width="11.44140625" bestFit="1" customWidth="1"/>
    <col min="848" max="848" width="8.5546875" bestFit="1" customWidth="1"/>
    <col min="849" max="849" width="11.44140625" bestFit="1" customWidth="1"/>
    <col min="850" max="850" width="8.5546875" bestFit="1" customWidth="1"/>
    <col min="851" max="851" width="11.44140625" bestFit="1" customWidth="1"/>
    <col min="852" max="852" width="9.33203125" bestFit="1" customWidth="1"/>
    <col min="853" max="853" width="11.44140625" bestFit="1" customWidth="1"/>
    <col min="854" max="854" width="8.5546875" bestFit="1" customWidth="1"/>
    <col min="855" max="855" width="11.44140625" bestFit="1" customWidth="1"/>
    <col min="856" max="856" width="9.33203125" bestFit="1" customWidth="1"/>
    <col min="857" max="857" width="11.44140625" bestFit="1" customWidth="1"/>
    <col min="858" max="858" width="8.5546875" bestFit="1" customWidth="1"/>
    <col min="859" max="859" width="11.44140625" bestFit="1" customWidth="1"/>
    <col min="860" max="860" width="8.5546875" bestFit="1" customWidth="1"/>
    <col min="861" max="861" width="11.44140625" bestFit="1" customWidth="1"/>
    <col min="862" max="863" width="9.33203125" bestFit="1" customWidth="1"/>
    <col min="864" max="864" width="11.44140625" bestFit="1" customWidth="1"/>
    <col min="865" max="865" width="8.5546875" bestFit="1" customWidth="1"/>
    <col min="866" max="866" width="11.44140625" bestFit="1" customWidth="1"/>
    <col min="867" max="867" width="9.33203125" bestFit="1" customWidth="1"/>
    <col min="868" max="868" width="11.44140625" bestFit="1" customWidth="1"/>
    <col min="869" max="869" width="8.5546875" bestFit="1" customWidth="1"/>
    <col min="870" max="870" width="11.44140625" bestFit="1" customWidth="1"/>
    <col min="871" max="871" width="8.5546875" bestFit="1" customWidth="1"/>
    <col min="872" max="872" width="11.44140625" bestFit="1" customWidth="1"/>
    <col min="873" max="873" width="8.5546875" bestFit="1" customWidth="1"/>
    <col min="874" max="874" width="11.44140625" bestFit="1" customWidth="1"/>
    <col min="875" max="875" width="8.5546875" bestFit="1" customWidth="1"/>
    <col min="876" max="876" width="11.44140625" bestFit="1" customWidth="1"/>
    <col min="877" max="877" width="9.33203125" bestFit="1" customWidth="1"/>
    <col min="878" max="878" width="11.44140625" bestFit="1" customWidth="1"/>
    <col min="879" max="879" width="8.5546875" bestFit="1" customWidth="1"/>
    <col min="880" max="880" width="11.44140625" bestFit="1" customWidth="1"/>
    <col min="881" max="881" width="8.5546875" bestFit="1" customWidth="1"/>
    <col min="882" max="882" width="11.44140625" bestFit="1" customWidth="1"/>
    <col min="883" max="883" width="8.5546875" bestFit="1" customWidth="1"/>
    <col min="884" max="884" width="11.44140625" bestFit="1" customWidth="1"/>
    <col min="885" max="886" width="8.5546875" bestFit="1" customWidth="1"/>
    <col min="887" max="887" width="11.44140625" bestFit="1" customWidth="1"/>
    <col min="888" max="888" width="9.33203125" bestFit="1" customWidth="1"/>
    <col min="889" max="889" width="11.44140625" bestFit="1" customWidth="1"/>
    <col min="890" max="890" width="9.33203125" bestFit="1" customWidth="1"/>
    <col min="891" max="891" width="11.44140625" bestFit="1" customWidth="1"/>
    <col min="892" max="892" width="8.5546875" bestFit="1" customWidth="1"/>
    <col min="893" max="893" width="11.44140625" bestFit="1" customWidth="1"/>
    <col min="894" max="894" width="8.5546875" bestFit="1" customWidth="1"/>
    <col min="895" max="895" width="11.44140625" bestFit="1" customWidth="1"/>
    <col min="896" max="896" width="9.33203125" bestFit="1" customWidth="1"/>
    <col min="897" max="897" width="11.44140625" bestFit="1" customWidth="1"/>
    <col min="898" max="898" width="8.5546875" bestFit="1" customWidth="1"/>
    <col min="899" max="899" width="11.44140625" bestFit="1" customWidth="1"/>
    <col min="900" max="900" width="8.5546875" bestFit="1" customWidth="1"/>
    <col min="901" max="901" width="11.44140625" bestFit="1" customWidth="1"/>
    <col min="902" max="902" width="8.5546875" bestFit="1" customWidth="1"/>
    <col min="903" max="903" width="11.44140625" bestFit="1" customWidth="1"/>
    <col min="904" max="904" width="8.5546875" bestFit="1" customWidth="1"/>
    <col min="905" max="905" width="11.44140625" bestFit="1" customWidth="1"/>
    <col min="906" max="906" width="8.5546875" bestFit="1" customWidth="1"/>
    <col min="907" max="907" width="11.44140625" bestFit="1" customWidth="1"/>
    <col min="908" max="908" width="8.5546875" bestFit="1" customWidth="1"/>
    <col min="909" max="909" width="11.44140625" bestFit="1" customWidth="1"/>
    <col min="910" max="910" width="8.5546875" bestFit="1" customWidth="1"/>
    <col min="911" max="911" width="11.44140625" bestFit="1" customWidth="1"/>
    <col min="912" max="912" width="9.33203125" bestFit="1" customWidth="1"/>
    <col min="913" max="913" width="11.44140625" bestFit="1" customWidth="1"/>
    <col min="914" max="914" width="8.5546875" bestFit="1" customWidth="1"/>
    <col min="915" max="915" width="11.44140625" bestFit="1" customWidth="1"/>
    <col min="916" max="916" width="8.5546875" bestFit="1" customWidth="1"/>
    <col min="917" max="917" width="11.44140625" bestFit="1" customWidth="1"/>
    <col min="918" max="918" width="8.5546875" bestFit="1" customWidth="1"/>
    <col min="919" max="919" width="11.44140625" bestFit="1" customWidth="1"/>
    <col min="920" max="920" width="8.5546875" bestFit="1" customWidth="1"/>
    <col min="921" max="921" width="11.44140625" bestFit="1" customWidth="1"/>
    <col min="922" max="922" width="8.5546875" bestFit="1" customWidth="1"/>
    <col min="923" max="923" width="11.44140625" bestFit="1" customWidth="1"/>
    <col min="924" max="924" width="8.5546875" bestFit="1" customWidth="1"/>
    <col min="925" max="925" width="11.44140625" bestFit="1" customWidth="1"/>
    <col min="926" max="926" width="9.33203125" bestFit="1" customWidth="1"/>
    <col min="927" max="927" width="11.44140625" bestFit="1" customWidth="1"/>
    <col min="928" max="928" width="8.5546875" bestFit="1" customWidth="1"/>
    <col min="929" max="929" width="11.44140625" bestFit="1" customWidth="1"/>
    <col min="930" max="930" width="8.5546875" bestFit="1" customWidth="1"/>
    <col min="931" max="931" width="11.44140625" bestFit="1" customWidth="1"/>
    <col min="932" max="932" width="9.33203125" bestFit="1" customWidth="1"/>
    <col min="933" max="933" width="11.44140625" bestFit="1" customWidth="1"/>
    <col min="934" max="934" width="9.33203125" bestFit="1" customWidth="1"/>
    <col min="935" max="935" width="11.44140625" bestFit="1" customWidth="1"/>
    <col min="936" max="936" width="8.5546875" bestFit="1" customWidth="1"/>
    <col min="937" max="937" width="11.44140625" bestFit="1" customWidth="1"/>
    <col min="938" max="938" width="9.33203125" bestFit="1" customWidth="1"/>
    <col min="939" max="939" width="11.44140625" bestFit="1" customWidth="1"/>
    <col min="940" max="940" width="9.33203125" bestFit="1" customWidth="1"/>
    <col min="941" max="941" width="11.44140625" bestFit="1" customWidth="1"/>
    <col min="942" max="942" width="8.5546875" bestFit="1" customWidth="1"/>
    <col min="943" max="943" width="11.44140625" bestFit="1" customWidth="1"/>
    <col min="944" max="944" width="8.5546875" bestFit="1" customWidth="1"/>
    <col min="945" max="945" width="11.44140625" bestFit="1" customWidth="1"/>
    <col min="946" max="946" width="8.5546875" bestFit="1" customWidth="1"/>
    <col min="947" max="947" width="11.44140625" bestFit="1" customWidth="1"/>
    <col min="948" max="948" width="8.5546875" bestFit="1" customWidth="1"/>
    <col min="949" max="949" width="11.44140625" bestFit="1" customWidth="1"/>
    <col min="950" max="950" width="8.5546875" bestFit="1" customWidth="1"/>
    <col min="951" max="951" width="11.44140625" bestFit="1" customWidth="1"/>
    <col min="952" max="952" width="8.5546875" bestFit="1" customWidth="1"/>
    <col min="953" max="953" width="11.44140625" bestFit="1" customWidth="1"/>
    <col min="954" max="954" width="8.5546875" bestFit="1" customWidth="1"/>
    <col min="955" max="955" width="11.44140625" bestFit="1" customWidth="1"/>
    <col min="956" max="956" width="8.5546875" bestFit="1" customWidth="1"/>
    <col min="957" max="957" width="11.44140625" bestFit="1" customWidth="1"/>
    <col min="958" max="958" width="8.5546875" bestFit="1" customWidth="1"/>
    <col min="959" max="959" width="11.44140625" bestFit="1" customWidth="1"/>
    <col min="960" max="960" width="8.5546875" bestFit="1" customWidth="1"/>
    <col min="961" max="961" width="11.44140625" bestFit="1" customWidth="1"/>
    <col min="962" max="962" width="8.5546875" bestFit="1" customWidth="1"/>
    <col min="963" max="963" width="11.44140625" bestFit="1" customWidth="1"/>
    <col min="964" max="964" width="8.5546875" bestFit="1" customWidth="1"/>
    <col min="965" max="965" width="11.44140625" bestFit="1" customWidth="1"/>
    <col min="966" max="966" width="8.5546875" bestFit="1" customWidth="1"/>
    <col min="967" max="967" width="11.44140625" bestFit="1" customWidth="1"/>
    <col min="968" max="968" width="8.5546875" bestFit="1" customWidth="1"/>
    <col min="969" max="969" width="11.44140625" bestFit="1" customWidth="1"/>
    <col min="970" max="970" width="8.5546875" bestFit="1" customWidth="1"/>
    <col min="971" max="971" width="11.44140625" bestFit="1" customWidth="1"/>
    <col min="972" max="972" width="9.33203125" bestFit="1" customWidth="1"/>
    <col min="973" max="973" width="11.44140625" bestFit="1" customWidth="1"/>
    <col min="974" max="974" width="8.5546875" bestFit="1" customWidth="1"/>
    <col min="975" max="975" width="11.44140625" bestFit="1" customWidth="1"/>
    <col min="976" max="976" width="8.5546875" bestFit="1" customWidth="1"/>
    <col min="977" max="977" width="11.44140625" bestFit="1" customWidth="1"/>
    <col min="978" max="978" width="8.5546875" bestFit="1" customWidth="1"/>
    <col min="979" max="979" width="11.44140625" bestFit="1" customWidth="1"/>
    <col min="980" max="980" width="9.33203125" bestFit="1" customWidth="1"/>
    <col min="981" max="981" width="11.44140625" bestFit="1" customWidth="1"/>
    <col min="982" max="982" width="8.5546875" bestFit="1" customWidth="1"/>
    <col min="983" max="983" width="11.44140625" bestFit="1" customWidth="1"/>
    <col min="984" max="984" width="8.5546875" bestFit="1" customWidth="1"/>
    <col min="985" max="985" width="11.44140625" bestFit="1" customWidth="1"/>
    <col min="986" max="986" width="8.5546875" bestFit="1" customWidth="1"/>
    <col min="987" max="987" width="11.44140625" bestFit="1" customWidth="1"/>
    <col min="988" max="988" width="8.5546875" bestFit="1" customWidth="1"/>
    <col min="989" max="989" width="11.44140625" bestFit="1" customWidth="1"/>
    <col min="990" max="990" width="8.5546875" bestFit="1" customWidth="1"/>
    <col min="991" max="991" width="11.44140625" bestFit="1" customWidth="1"/>
    <col min="992" max="992" width="8.5546875" bestFit="1" customWidth="1"/>
    <col min="993" max="993" width="11.44140625" bestFit="1" customWidth="1"/>
    <col min="994" max="994" width="8.5546875" bestFit="1" customWidth="1"/>
    <col min="995" max="995" width="11.44140625" bestFit="1" customWidth="1"/>
    <col min="996" max="996" width="9.33203125" bestFit="1" customWidth="1"/>
    <col min="997" max="997" width="11.44140625" bestFit="1" customWidth="1"/>
    <col min="998" max="998" width="9.33203125" bestFit="1" customWidth="1"/>
    <col min="999" max="999" width="11.44140625" bestFit="1" customWidth="1"/>
    <col min="1000" max="1000" width="8.5546875" bestFit="1" customWidth="1"/>
    <col min="1001" max="1001" width="11.44140625" bestFit="1" customWidth="1"/>
    <col min="1002" max="1002" width="8.5546875" bestFit="1" customWidth="1"/>
    <col min="1003" max="1003" width="11.44140625" bestFit="1" customWidth="1"/>
    <col min="1004" max="1004" width="8.5546875" bestFit="1" customWidth="1"/>
    <col min="1005" max="1005" width="11.44140625" bestFit="1" customWidth="1"/>
    <col min="1006" max="1006" width="11.218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W1">
        <v>1</v>
      </c>
    </row>
    <row r="2" spans="1:49" x14ac:dyDescent="0.3">
      <c r="A2">
        <v>1000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">
        <v>46081</v>
      </c>
      <c r="H2" t="s">
        <v>33</v>
      </c>
      <c r="I2" t="s">
        <v>34</v>
      </c>
      <c r="J2" t="s">
        <v>35</v>
      </c>
      <c r="K2" t="s">
        <v>36</v>
      </c>
      <c r="L2">
        <v>45</v>
      </c>
      <c r="M2">
        <v>13950</v>
      </c>
      <c r="N2">
        <v>9888.8700000000008</v>
      </c>
      <c r="O2">
        <v>4061.13</v>
      </c>
      <c r="P2">
        <v>76</v>
      </c>
      <c r="Q2">
        <v>3.5</v>
      </c>
      <c r="R2">
        <v>5</v>
      </c>
      <c r="S2" t="s">
        <v>37</v>
      </c>
      <c r="T2" t="s">
        <v>38</v>
      </c>
      <c r="U2" t="s">
        <v>39</v>
      </c>
      <c r="V2">
        <v>12.97</v>
      </c>
      <c r="W2">
        <v>77.59</v>
      </c>
      <c r="X2">
        <v>5966</v>
      </c>
      <c r="Y2">
        <v>8704</v>
      </c>
      <c r="Z2">
        <v>4474</v>
      </c>
      <c r="AA2">
        <v>4863</v>
      </c>
      <c r="AB2" t="s">
        <v>40</v>
      </c>
      <c r="AD2" t="s">
        <v>104</v>
      </c>
      <c r="AE2" t="s">
        <v>105</v>
      </c>
      <c r="AF2" t="s">
        <v>106</v>
      </c>
    </row>
    <row r="3" spans="1:49" x14ac:dyDescent="0.3">
      <c r="A3">
        <v>1001</v>
      </c>
      <c r="B3" t="s">
        <v>41</v>
      </c>
      <c r="C3" t="s">
        <v>29</v>
      </c>
      <c r="D3" t="s">
        <v>42</v>
      </c>
      <c r="E3" t="s">
        <v>43</v>
      </c>
      <c r="F3" t="s">
        <v>44</v>
      </c>
      <c r="G3" s="1">
        <v>46046</v>
      </c>
      <c r="H3" t="s">
        <v>45</v>
      </c>
      <c r="I3" t="s">
        <v>34</v>
      </c>
      <c r="J3" t="s">
        <v>46</v>
      </c>
      <c r="K3" t="s">
        <v>47</v>
      </c>
      <c r="L3">
        <v>37</v>
      </c>
      <c r="M3">
        <v>8029</v>
      </c>
      <c r="N3">
        <v>4892.72</v>
      </c>
      <c r="O3">
        <v>3136.28</v>
      </c>
      <c r="P3">
        <v>76</v>
      </c>
      <c r="Q3">
        <v>4.4000000000000004</v>
      </c>
      <c r="R3">
        <v>5</v>
      </c>
      <c r="S3" t="s">
        <v>48</v>
      </c>
      <c r="T3" t="s">
        <v>49</v>
      </c>
      <c r="U3" t="s">
        <v>39</v>
      </c>
      <c r="V3">
        <v>28.61</v>
      </c>
      <c r="W3">
        <v>77.2</v>
      </c>
      <c r="X3">
        <v>9184</v>
      </c>
      <c r="Y3">
        <v>13268</v>
      </c>
      <c r="Z3">
        <v>7358</v>
      </c>
      <c r="AA3">
        <v>11973</v>
      </c>
      <c r="AB3" t="s">
        <v>40</v>
      </c>
      <c r="AD3">
        <v>1</v>
      </c>
      <c r="AE3" t="s">
        <v>84</v>
      </c>
      <c r="AF3">
        <f>SUM(Table1[Sales Amount])</f>
        <v>4892507</v>
      </c>
      <c r="AH3" s="6" t="s">
        <v>42</v>
      </c>
      <c r="AI3" s="5">
        <v>862464</v>
      </c>
    </row>
    <row r="4" spans="1:49" x14ac:dyDescent="0.3">
      <c r="A4">
        <v>1002</v>
      </c>
      <c r="B4" t="s">
        <v>50</v>
      </c>
      <c r="C4" t="s">
        <v>29</v>
      </c>
      <c r="D4" t="s">
        <v>51</v>
      </c>
      <c r="E4" t="s">
        <v>52</v>
      </c>
      <c r="F4" t="s">
        <v>53</v>
      </c>
      <c r="G4" s="1">
        <v>46153</v>
      </c>
      <c r="H4" t="s">
        <v>54</v>
      </c>
      <c r="I4" t="s">
        <v>34</v>
      </c>
      <c r="J4" t="s">
        <v>35</v>
      </c>
      <c r="K4" t="s">
        <v>47</v>
      </c>
      <c r="L4">
        <v>60</v>
      </c>
      <c r="M4">
        <v>11220</v>
      </c>
      <c r="N4">
        <v>6870.76</v>
      </c>
      <c r="O4">
        <v>4349.24</v>
      </c>
      <c r="P4">
        <v>187</v>
      </c>
      <c r="Q4">
        <v>4</v>
      </c>
      <c r="R4">
        <v>15</v>
      </c>
      <c r="S4" t="s">
        <v>37</v>
      </c>
      <c r="T4" t="s">
        <v>49</v>
      </c>
      <c r="U4" t="s">
        <v>55</v>
      </c>
      <c r="V4">
        <v>19.07</v>
      </c>
      <c r="W4">
        <v>72.87</v>
      </c>
      <c r="X4">
        <v>5082</v>
      </c>
      <c r="Y4">
        <v>8216</v>
      </c>
      <c r="Z4">
        <v>3889</v>
      </c>
      <c r="AA4">
        <v>5876</v>
      </c>
      <c r="AB4" t="s">
        <v>56</v>
      </c>
      <c r="AD4">
        <v>2</v>
      </c>
      <c r="AE4" t="s">
        <v>85</v>
      </c>
      <c r="AF4">
        <f>SUM(Table1[Profit])</f>
        <v>1606196.8299999994</v>
      </c>
      <c r="AH4" s="6" t="s">
        <v>30</v>
      </c>
      <c r="AI4" s="5">
        <v>991350</v>
      </c>
    </row>
    <row r="5" spans="1:49" x14ac:dyDescent="0.3">
      <c r="A5">
        <v>1003</v>
      </c>
      <c r="B5" t="s">
        <v>41</v>
      </c>
      <c r="C5" t="s">
        <v>29</v>
      </c>
      <c r="D5" t="s">
        <v>42</v>
      </c>
      <c r="E5" t="s">
        <v>43</v>
      </c>
      <c r="F5" t="s">
        <v>44</v>
      </c>
      <c r="G5" s="1">
        <v>46034</v>
      </c>
      <c r="H5" t="s">
        <v>45</v>
      </c>
      <c r="I5" t="s">
        <v>57</v>
      </c>
      <c r="J5" t="s">
        <v>58</v>
      </c>
      <c r="K5" t="s">
        <v>59</v>
      </c>
      <c r="L5">
        <v>41</v>
      </c>
      <c r="M5">
        <v>10742</v>
      </c>
      <c r="N5">
        <v>7089.12</v>
      </c>
      <c r="O5">
        <v>3652.88</v>
      </c>
      <c r="P5">
        <v>99</v>
      </c>
      <c r="Q5">
        <v>3.9</v>
      </c>
      <c r="R5">
        <v>0</v>
      </c>
      <c r="S5" t="s">
        <v>48</v>
      </c>
      <c r="T5" t="s">
        <v>38</v>
      </c>
      <c r="U5" t="s">
        <v>55</v>
      </c>
      <c r="V5">
        <v>28.61</v>
      </c>
      <c r="W5">
        <v>77.2</v>
      </c>
      <c r="X5">
        <v>7855</v>
      </c>
      <c r="Y5">
        <v>12376</v>
      </c>
      <c r="Z5">
        <v>7292</v>
      </c>
      <c r="AA5">
        <v>7602</v>
      </c>
      <c r="AB5" t="s">
        <v>56</v>
      </c>
      <c r="AD5">
        <v>3</v>
      </c>
      <c r="AE5" t="s">
        <v>86</v>
      </c>
      <c r="AF5">
        <f>SUM(Table1[Units Sold])</f>
        <v>16469</v>
      </c>
      <c r="AH5" s="6" t="s">
        <v>66</v>
      </c>
      <c r="AI5" s="5">
        <v>868822</v>
      </c>
    </row>
    <row r="6" spans="1:49" x14ac:dyDescent="0.3">
      <c r="A6">
        <v>1004</v>
      </c>
      <c r="B6" t="s">
        <v>60</v>
      </c>
      <c r="C6" t="s">
        <v>29</v>
      </c>
      <c r="D6" t="s">
        <v>61</v>
      </c>
      <c r="E6" t="s">
        <v>62</v>
      </c>
      <c r="F6" t="s">
        <v>32</v>
      </c>
      <c r="G6" s="1">
        <v>46078</v>
      </c>
      <c r="H6" t="s">
        <v>33</v>
      </c>
      <c r="I6" t="s">
        <v>34</v>
      </c>
      <c r="J6" t="s">
        <v>46</v>
      </c>
      <c r="K6" t="s">
        <v>47</v>
      </c>
      <c r="L6">
        <v>23</v>
      </c>
      <c r="M6">
        <v>7314</v>
      </c>
      <c r="N6">
        <v>4988.03</v>
      </c>
      <c r="O6">
        <v>2325.9699999999998</v>
      </c>
      <c r="P6">
        <v>133</v>
      </c>
      <c r="Q6">
        <v>4.5999999999999996</v>
      </c>
      <c r="R6">
        <v>0</v>
      </c>
      <c r="S6" t="s">
        <v>48</v>
      </c>
      <c r="T6" t="s">
        <v>38</v>
      </c>
      <c r="U6" t="s">
        <v>39</v>
      </c>
      <c r="V6">
        <v>13.08</v>
      </c>
      <c r="W6">
        <v>80.27</v>
      </c>
      <c r="X6">
        <v>12587</v>
      </c>
      <c r="Y6">
        <v>17587</v>
      </c>
      <c r="Z6">
        <v>11238</v>
      </c>
      <c r="AA6">
        <v>16541</v>
      </c>
      <c r="AB6" t="s">
        <v>63</v>
      </c>
      <c r="AD6">
        <v>4</v>
      </c>
      <c r="AE6" t="s">
        <v>87</v>
      </c>
      <c r="AF6">
        <f>SUM(Table1[Customer Visits])</f>
        <v>85160</v>
      </c>
      <c r="AH6" s="6" t="s">
        <v>51</v>
      </c>
      <c r="AI6" s="5">
        <v>1234477</v>
      </c>
    </row>
    <row r="7" spans="1:49" x14ac:dyDescent="0.3">
      <c r="A7">
        <v>1005</v>
      </c>
      <c r="B7" t="s">
        <v>60</v>
      </c>
      <c r="C7" t="s">
        <v>29</v>
      </c>
      <c r="D7" t="s">
        <v>61</v>
      </c>
      <c r="E7" t="s">
        <v>62</v>
      </c>
      <c r="F7" t="s">
        <v>32</v>
      </c>
      <c r="G7" s="1">
        <v>46049</v>
      </c>
      <c r="H7" t="s">
        <v>45</v>
      </c>
      <c r="I7" t="s">
        <v>34</v>
      </c>
      <c r="J7" t="s">
        <v>46</v>
      </c>
      <c r="K7" t="s">
        <v>59</v>
      </c>
      <c r="L7">
        <v>60</v>
      </c>
      <c r="M7">
        <v>12000</v>
      </c>
      <c r="N7">
        <v>8447.36</v>
      </c>
      <c r="O7">
        <v>3552.64</v>
      </c>
      <c r="P7">
        <v>221</v>
      </c>
      <c r="Q7">
        <v>4.5</v>
      </c>
      <c r="R7">
        <v>0</v>
      </c>
      <c r="S7" t="s">
        <v>64</v>
      </c>
      <c r="T7" t="s">
        <v>38</v>
      </c>
      <c r="U7" t="s">
        <v>39</v>
      </c>
      <c r="V7">
        <v>13.08</v>
      </c>
      <c r="W7">
        <v>80.27</v>
      </c>
      <c r="X7">
        <v>14450</v>
      </c>
      <c r="Y7">
        <v>19115</v>
      </c>
      <c r="Z7">
        <v>13070</v>
      </c>
      <c r="AA7">
        <v>15246</v>
      </c>
      <c r="AB7" t="s">
        <v>63</v>
      </c>
      <c r="AD7">
        <v>5</v>
      </c>
      <c r="AE7" t="s">
        <v>88</v>
      </c>
      <c r="AF7">
        <f>AVERAGE(Table1[Avg Rating])</f>
        <v>4.2381999999999938</v>
      </c>
      <c r="AH7" s="6" t="s">
        <v>61</v>
      </c>
      <c r="AI7" s="5">
        <v>935394</v>
      </c>
    </row>
    <row r="8" spans="1:49" x14ac:dyDescent="0.3">
      <c r="A8">
        <v>1006</v>
      </c>
      <c r="B8" t="s">
        <v>65</v>
      </c>
      <c r="C8" t="s">
        <v>29</v>
      </c>
      <c r="D8" t="s">
        <v>66</v>
      </c>
      <c r="E8" t="s">
        <v>67</v>
      </c>
      <c r="F8" t="s">
        <v>32</v>
      </c>
      <c r="G8" s="1">
        <v>46181</v>
      </c>
      <c r="H8" t="s">
        <v>68</v>
      </c>
      <c r="I8" t="s">
        <v>69</v>
      </c>
      <c r="J8" t="s">
        <v>70</v>
      </c>
      <c r="K8" t="s">
        <v>36</v>
      </c>
      <c r="L8">
        <v>46</v>
      </c>
      <c r="M8">
        <v>16560</v>
      </c>
      <c r="N8">
        <v>12535.31</v>
      </c>
      <c r="O8">
        <v>4024.69</v>
      </c>
      <c r="P8">
        <v>289</v>
      </c>
      <c r="Q8">
        <v>3.9</v>
      </c>
      <c r="R8">
        <v>15</v>
      </c>
      <c r="S8" t="s">
        <v>37</v>
      </c>
      <c r="T8" t="s">
        <v>38</v>
      </c>
      <c r="U8" t="s">
        <v>55</v>
      </c>
      <c r="V8">
        <v>9.93</v>
      </c>
      <c r="W8">
        <v>76.260000000000005</v>
      </c>
      <c r="X8">
        <v>7044</v>
      </c>
      <c r="Y8">
        <v>10938</v>
      </c>
      <c r="Z8">
        <v>6499</v>
      </c>
      <c r="AA8">
        <v>8440</v>
      </c>
      <c r="AB8" t="s">
        <v>40</v>
      </c>
      <c r="AD8">
        <v>6</v>
      </c>
      <c r="AE8" t="s">
        <v>89</v>
      </c>
      <c r="AF8">
        <f>COUNTA(Table1[Store Name])</f>
        <v>500</v>
      </c>
    </row>
    <row r="9" spans="1:49" x14ac:dyDescent="0.3">
      <c r="A9">
        <v>1007</v>
      </c>
      <c r="B9" t="s">
        <v>50</v>
      </c>
      <c r="C9" t="s">
        <v>29</v>
      </c>
      <c r="D9" t="s">
        <v>51</v>
      </c>
      <c r="E9" t="s">
        <v>52</v>
      </c>
      <c r="F9" t="s">
        <v>53</v>
      </c>
      <c r="G9" s="1">
        <v>46104</v>
      </c>
      <c r="H9" t="s">
        <v>71</v>
      </c>
      <c r="I9" t="s">
        <v>69</v>
      </c>
      <c r="J9" t="s">
        <v>72</v>
      </c>
      <c r="K9" t="s">
        <v>73</v>
      </c>
      <c r="L9">
        <v>16</v>
      </c>
      <c r="M9">
        <v>4736</v>
      </c>
      <c r="N9">
        <v>3562.82</v>
      </c>
      <c r="O9">
        <v>1173.18</v>
      </c>
      <c r="P9">
        <v>110</v>
      </c>
      <c r="Q9">
        <v>3.6</v>
      </c>
      <c r="R9">
        <v>5</v>
      </c>
      <c r="S9" t="s">
        <v>64</v>
      </c>
      <c r="T9" t="s">
        <v>49</v>
      </c>
      <c r="U9" t="s">
        <v>55</v>
      </c>
      <c r="V9">
        <v>19.07</v>
      </c>
      <c r="W9">
        <v>72.87</v>
      </c>
      <c r="X9">
        <v>7980</v>
      </c>
      <c r="Y9">
        <v>11220</v>
      </c>
      <c r="Z9">
        <v>6364</v>
      </c>
      <c r="AA9">
        <v>9448</v>
      </c>
      <c r="AB9" t="s">
        <v>56</v>
      </c>
    </row>
    <row r="10" spans="1:49" x14ac:dyDescent="0.3">
      <c r="A10">
        <v>1008</v>
      </c>
      <c r="B10" t="s">
        <v>60</v>
      </c>
      <c r="C10" t="s">
        <v>29</v>
      </c>
      <c r="D10" t="s">
        <v>61</v>
      </c>
      <c r="E10" t="s">
        <v>62</v>
      </c>
      <c r="F10" t="s">
        <v>32</v>
      </c>
      <c r="G10" s="1">
        <v>46049</v>
      </c>
      <c r="H10" t="s">
        <v>45</v>
      </c>
      <c r="I10" t="s">
        <v>57</v>
      </c>
      <c r="J10" t="s">
        <v>58</v>
      </c>
      <c r="K10" t="s">
        <v>59</v>
      </c>
      <c r="L10">
        <v>43</v>
      </c>
      <c r="M10">
        <v>11610</v>
      </c>
      <c r="N10">
        <v>8721.7800000000007</v>
      </c>
      <c r="O10">
        <v>2888.22</v>
      </c>
      <c r="P10">
        <v>226</v>
      </c>
      <c r="Q10">
        <v>4</v>
      </c>
      <c r="R10">
        <v>15</v>
      </c>
      <c r="S10" t="s">
        <v>64</v>
      </c>
      <c r="T10" t="s">
        <v>49</v>
      </c>
      <c r="U10" t="s">
        <v>74</v>
      </c>
      <c r="V10">
        <v>13.08</v>
      </c>
      <c r="W10">
        <v>80.27</v>
      </c>
      <c r="X10">
        <v>14281</v>
      </c>
      <c r="Y10">
        <v>18063</v>
      </c>
      <c r="Z10">
        <v>13152</v>
      </c>
      <c r="AA10">
        <v>16639</v>
      </c>
      <c r="AB10" t="s">
        <v>56</v>
      </c>
    </row>
    <row r="11" spans="1:49" x14ac:dyDescent="0.3">
      <c r="A11">
        <v>1009</v>
      </c>
      <c r="B11" t="s">
        <v>50</v>
      </c>
      <c r="C11" t="s">
        <v>29</v>
      </c>
      <c r="D11" t="s">
        <v>51</v>
      </c>
      <c r="E11" t="s">
        <v>52</v>
      </c>
      <c r="F11" t="s">
        <v>53</v>
      </c>
      <c r="G11" s="1">
        <v>46130</v>
      </c>
      <c r="H11" t="s">
        <v>75</v>
      </c>
      <c r="I11" t="s">
        <v>69</v>
      </c>
      <c r="J11" t="s">
        <v>70</v>
      </c>
      <c r="K11" t="s">
        <v>47</v>
      </c>
      <c r="L11">
        <v>31</v>
      </c>
      <c r="M11">
        <v>11780</v>
      </c>
      <c r="N11">
        <v>7974.07</v>
      </c>
      <c r="O11">
        <v>3805.93</v>
      </c>
      <c r="P11">
        <v>259</v>
      </c>
      <c r="Q11">
        <v>4.5</v>
      </c>
      <c r="R11">
        <v>15</v>
      </c>
      <c r="S11" t="s">
        <v>64</v>
      </c>
      <c r="T11" t="s">
        <v>76</v>
      </c>
      <c r="U11" t="s">
        <v>39</v>
      </c>
      <c r="V11">
        <v>19.07</v>
      </c>
      <c r="W11">
        <v>72.87</v>
      </c>
      <c r="X11">
        <v>10088</v>
      </c>
      <c r="Y11">
        <v>12110</v>
      </c>
      <c r="Z11">
        <v>9386</v>
      </c>
      <c r="AA11">
        <v>11334</v>
      </c>
      <c r="AB11" t="s">
        <v>63</v>
      </c>
    </row>
    <row r="12" spans="1:49" x14ac:dyDescent="0.3">
      <c r="A12">
        <v>1010</v>
      </c>
      <c r="B12" t="s">
        <v>60</v>
      </c>
      <c r="C12" t="s">
        <v>29</v>
      </c>
      <c r="D12" t="s">
        <v>61</v>
      </c>
      <c r="E12" t="s">
        <v>62</v>
      </c>
      <c r="F12" t="s">
        <v>32</v>
      </c>
      <c r="G12" s="1">
        <v>46197</v>
      </c>
      <c r="H12" t="s">
        <v>68</v>
      </c>
      <c r="I12" t="s">
        <v>34</v>
      </c>
      <c r="J12" t="s">
        <v>77</v>
      </c>
      <c r="K12" t="s">
        <v>78</v>
      </c>
      <c r="L12">
        <v>31</v>
      </c>
      <c r="M12">
        <v>6541</v>
      </c>
      <c r="N12">
        <v>5192.53</v>
      </c>
      <c r="O12">
        <v>1348.47</v>
      </c>
      <c r="P12">
        <v>59</v>
      </c>
      <c r="Q12">
        <v>5</v>
      </c>
      <c r="R12">
        <v>15</v>
      </c>
      <c r="S12" t="s">
        <v>37</v>
      </c>
      <c r="T12" t="s">
        <v>76</v>
      </c>
      <c r="U12" t="s">
        <v>74</v>
      </c>
      <c r="V12">
        <v>13.08</v>
      </c>
      <c r="W12">
        <v>80.27</v>
      </c>
      <c r="X12">
        <v>12606</v>
      </c>
      <c r="Y12">
        <v>14519</v>
      </c>
      <c r="Z12">
        <v>10953</v>
      </c>
      <c r="AA12">
        <v>13785</v>
      </c>
      <c r="AB12" t="s">
        <v>79</v>
      </c>
    </row>
    <row r="13" spans="1:49" x14ac:dyDescent="0.3">
      <c r="A13">
        <v>1011</v>
      </c>
      <c r="B13" t="s">
        <v>50</v>
      </c>
      <c r="C13" t="s">
        <v>29</v>
      </c>
      <c r="D13" t="s">
        <v>51</v>
      </c>
      <c r="E13" t="s">
        <v>52</v>
      </c>
      <c r="F13" t="s">
        <v>53</v>
      </c>
      <c r="G13" s="1">
        <v>46091</v>
      </c>
      <c r="H13" t="s">
        <v>71</v>
      </c>
      <c r="I13" t="s">
        <v>80</v>
      </c>
      <c r="J13" t="s">
        <v>81</v>
      </c>
      <c r="K13" t="s">
        <v>73</v>
      </c>
      <c r="L13">
        <v>7</v>
      </c>
      <c r="M13">
        <v>1834</v>
      </c>
      <c r="N13">
        <v>1151.6199999999999</v>
      </c>
      <c r="O13">
        <v>682.38</v>
      </c>
      <c r="P13">
        <v>239</v>
      </c>
      <c r="Q13">
        <v>3.6</v>
      </c>
      <c r="R13">
        <v>0</v>
      </c>
      <c r="S13" t="s">
        <v>64</v>
      </c>
      <c r="T13" t="s">
        <v>76</v>
      </c>
      <c r="U13" t="s">
        <v>74</v>
      </c>
      <c r="V13">
        <v>19.07</v>
      </c>
      <c r="W13">
        <v>72.87</v>
      </c>
      <c r="X13">
        <v>10397</v>
      </c>
      <c r="Y13">
        <v>14089</v>
      </c>
      <c r="Z13">
        <v>9103</v>
      </c>
      <c r="AA13">
        <v>10217</v>
      </c>
      <c r="AB13" t="s">
        <v>40</v>
      </c>
    </row>
    <row r="14" spans="1:49" x14ac:dyDescent="0.3">
      <c r="A14">
        <v>1012</v>
      </c>
      <c r="B14" t="s">
        <v>60</v>
      </c>
      <c r="C14" t="s">
        <v>29</v>
      </c>
      <c r="D14" t="s">
        <v>61</v>
      </c>
      <c r="E14" t="s">
        <v>62</v>
      </c>
      <c r="F14" t="s">
        <v>32</v>
      </c>
      <c r="G14" s="1">
        <v>46068</v>
      </c>
      <c r="H14" t="s">
        <v>33</v>
      </c>
      <c r="I14" t="s">
        <v>69</v>
      </c>
      <c r="J14" t="s">
        <v>72</v>
      </c>
      <c r="K14" t="s">
        <v>47</v>
      </c>
      <c r="L14">
        <v>40</v>
      </c>
      <c r="M14">
        <v>11680</v>
      </c>
      <c r="N14">
        <v>7550.53</v>
      </c>
      <c r="O14">
        <v>4129.47</v>
      </c>
      <c r="P14">
        <v>282</v>
      </c>
      <c r="Q14">
        <v>3.9</v>
      </c>
      <c r="R14">
        <v>10</v>
      </c>
      <c r="S14" t="s">
        <v>64</v>
      </c>
      <c r="T14" t="s">
        <v>76</v>
      </c>
      <c r="U14" t="s">
        <v>74</v>
      </c>
      <c r="V14">
        <v>13.08</v>
      </c>
      <c r="W14">
        <v>80.27</v>
      </c>
      <c r="X14">
        <v>5038</v>
      </c>
      <c r="Y14">
        <v>6408</v>
      </c>
      <c r="Z14">
        <v>4083</v>
      </c>
      <c r="AA14">
        <v>5913</v>
      </c>
      <c r="AB14" t="s">
        <v>79</v>
      </c>
    </row>
    <row r="15" spans="1:49" x14ac:dyDescent="0.3">
      <c r="A15">
        <v>1013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s="1">
        <v>46104</v>
      </c>
      <c r="H15" t="s">
        <v>71</v>
      </c>
      <c r="I15" t="s">
        <v>80</v>
      </c>
      <c r="J15" t="s">
        <v>82</v>
      </c>
      <c r="K15" t="s">
        <v>78</v>
      </c>
      <c r="L15">
        <v>41</v>
      </c>
      <c r="M15">
        <v>14555</v>
      </c>
      <c r="N15">
        <v>8920.1299999999992</v>
      </c>
      <c r="O15">
        <v>5634.87</v>
      </c>
      <c r="P15">
        <v>203</v>
      </c>
      <c r="Q15">
        <v>4.0999999999999996</v>
      </c>
      <c r="R15">
        <v>15</v>
      </c>
      <c r="S15" t="s">
        <v>64</v>
      </c>
      <c r="T15" t="s">
        <v>76</v>
      </c>
      <c r="U15" t="s">
        <v>74</v>
      </c>
      <c r="V15">
        <v>12.97</v>
      </c>
      <c r="W15">
        <v>77.59</v>
      </c>
      <c r="X15">
        <v>12747</v>
      </c>
      <c r="Y15">
        <v>16625</v>
      </c>
      <c r="Z15">
        <v>11681</v>
      </c>
      <c r="AA15">
        <v>13991</v>
      </c>
      <c r="AB15" t="s">
        <v>79</v>
      </c>
      <c r="AD15">
        <v>1</v>
      </c>
      <c r="AE15" s="2" t="s">
        <v>90</v>
      </c>
      <c r="AF15" t="s">
        <v>92</v>
      </c>
      <c r="AG15">
        <v>2</v>
      </c>
      <c r="AH15" s="2" t="s">
        <v>90</v>
      </c>
      <c r="AI15" t="s">
        <v>92</v>
      </c>
      <c r="AJ15">
        <v>3</v>
      </c>
      <c r="AK15" s="2" t="s">
        <v>90</v>
      </c>
      <c r="AL15" t="s">
        <v>92</v>
      </c>
      <c r="AM15">
        <v>4</v>
      </c>
      <c r="AN15" s="2" t="s">
        <v>90</v>
      </c>
      <c r="AO15" t="s">
        <v>93</v>
      </c>
      <c r="AP15">
        <v>7</v>
      </c>
      <c r="AQ15" s="2" t="s">
        <v>90</v>
      </c>
      <c r="AR15" t="s">
        <v>94</v>
      </c>
      <c r="AS15" t="s">
        <v>102</v>
      </c>
      <c r="AT15" t="s">
        <v>95</v>
      </c>
      <c r="AU15" t="s">
        <v>96</v>
      </c>
    </row>
    <row r="16" spans="1:49" x14ac:dyDescent="0.3">
      <c r="A16">
        <v>1014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s="1">
        <v>46088</v>
      </c>
      <c r="H16" t="s">
        <v>71</v>
      </c>
      <c r="I16" t="s">
        <v>57</v>
      </c>
      <c r="J16" t="s">
        <v>58</v>
      </c>
      <c r="K16" t="s">
        <v>47</v>
      </c>
      <c r="L16">
        <v>5</v>
      </c>
      <c r="M16">
        <v>1785</v>
      </c>
      <c r="N16">
        <v>1161.92</v>
      </c>
      <c r="O16">
        <v>623.08000000000004</v>
      </c>
      <c r="P16">
        <v>81</v>
      </c>
      <c r="Q16">
        <v>3.5</v>
      </c>
      <c r="R16">
        <v>0</v>
      </c>
      <c r="S16" t="s">
        <v>64</v>
      </c>
      <c r="T16" t="s">
        <v>49</v>
      </c>
      <c r="U16" t="s">
        <v>55</v>
      </c>
      <c r="V16">
        <v>12.97</v>
      </c>
      <c r="W16">
        <v>77.59</v>
      </c>
      <c r="X16">
        <v>10623</v>
      </c>
      <c r="Y16">
        <v>14600</v>
      </c>
      <c r="Z16">
        <v>9635</v>
      </c>
      <c r="AA16">
        <v>9950</v>
      </c>
      <c r="AB16" t="s">
        <v>63</v>
      </c>
      <c r="AE16" s="3" t="s">
        <v>57</v>
      </c>
      <c r="AF16">
        <v>1273672</v>
      </c>
      <c r="AH16" s="3" t="s">
        <v>37</v>
      </c>
      <c r="AI16">
        <v>1579183</v>
      </c>
      <c r="AK16" s="3" t="s">
        <v>45</v>
      </c>
      <c r="AL16">
        <v>773789</v>
      </c>
      <c r="AN16" s="3">
        <v>40</v>
      </c>
      <c r="AO16">
        <v>9812</v>
      </c>
      <c r="AQ16" s="3" t="s">
        <v>97</v>
      </c>
      <c r="AR16">
        <v>9661.9210526315783</v>
      </c>
      <c r="AS16">
        <v>8459.6973684210534</v>
      </c>
      <c r="AT16">
        <v>10618.578947368422</v>
      </c>
      <c r="AU16">
        <v>12790.881578947368</v>
      </c>
    </row>
    <row r="17" spans="1:49" x14ac:dyDescent="0.3">
      <c r="A17">
        <v>1015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s="1">
        <v>46109</v>
      </c>
      <c r="H17" t="s">
        <v>71</v>
      </c>
      <c r="I17" t="s">
        <v>57</v>
      </c>
      <c r="J17" t="s">
        <v>83</v>
      </c>
      <c r="K17" t="s">
        <v>36</v>
      </c>
      <c r="L17">
        <v>30</v>
      </c>
      <c r="M17">
        <v>7500</v>
      </c>
      <c r="N17">
        <v>4228.68</v>
      </c>
      <c r="O17">
        <v>3271.32</v>
      </c>
      <c r="P17">
        <v>233</v>
      </c>
      <c r="Q17">
        <v>3.6</v>
      </c>
      <c r="R17">
        <v>15</v>
      </c>
      <c r="S17" t="s">
        <v>37</v>
      </c>
      <c r="T17" t="s">
        <v>76</v>
      </c>
      <c r="U17" t="s">
        <v>39</v>
      </c>
      <c r="V17">
        <v>12.97</v>
      </c>
      <c r="W17">
        <v>77.59</v>
      </c>
      <c r="X17">
        <v>12851</v>
      </c>
      <c r="Y17">
        <v>15117</v>
      </c>
      <c r="Z17">
        <v>12253</v>
      </c>
      <c r="AA17">
        <v>13102</v>
      </c>
      <c r="AB17" t="s">
        <v>63</v>
      </c>
      <c r="AE17" s="3" t="s">
        <v>80</v>
      </c>
      <c r="AF17">
        <v>1200282</v>
      </c>
      <c r="AH17" s="3" t="s">
        <v>64</v>
      </c>
      <c r="AI17">
        <v>1480762</v>
      </c>
      <c r="AK17" s="3" t="s">
        <v>33</v>
      </c>
      <c r="AL17">
        <v>850445</v>
      </c>
      <c r="AN17" s="3">
        <v>41</v>
      </c>
      <c r="AO17">
        <v>2500</v>
      </c>
      <c r="AQ17" s="3" t="s">
        <v>98</v>
      </c>
      <c r="AR17">
        <v>10138.172839506173</v>
      </c>
      <c r="AS17">
        <v>8848.6543209876545</v>
      </c>
      <c r="AT17">
        <v>10728.530864197532</v>
      </c>
      <c r="AU17">
        <v>13267.58024691358</v>
      </c>
      <c r="AW17">
        <v>2</v>
      </c>
    </row>
    <row r="18" spans="1:49" x14ac:dyDescent="0.3">
      <c r="A18">
        <v>1016</v>
      </c>
      <c r="B18" t="s">
        <v>50</v>
      </c>
      <c r="C18" t="s">
        <v>29</v>
      </c>
      <c r="D18" t="s">
        <v>51</v>
      </c>
      <c r="E18" t="s">
        <v>52</v>
      </c>
      <c r="F18" t="s">
        <v>53</v>
      </c>
      <c r="G18" s="1">
        <v>46129</v>
      </c>
      <c r="H18" t="s">
        <v>75</v>
      </c>
      <c r="I18" t="s">
        <v>80</v>
      </c>
      <c r="J18" t="s">
        <v>82</v>
      </c>
      <c r="K18" t="s">
        <v>78</v>
      </c>
      <c r="L18">
        <v>16</v>
      </c>
      <c r="M18">
        <v>4272</v>
      </c>
      <c r="N18">
        <v>2842.84</v>
      </c>
      <c r="O18">
        <v>1429.16</v>
      </c>
      <c r="P18">
        <v>62</v>
      </c>
      <c r="Q18">
        <v>4.3</v>
      </c>
      <c r="R18">
        <v>5</v>
      </c>
      <c r="S18" t="s">
        <v>37</v>
      </c>
      <c r="T18" t="s">
        <v>38</v>
      </c>
      <c r="U18" t="s">
        <v>74</v>
      </c>
      <c r="V18">
        <v>19.07</v>
      </c>
      <c r="W18">
        <v>72.87</v>
      </c>
      <c r="X18">
        <v>13385</v>
      </c>
      <c r="Y18">
        <v>14466</v>
      </c>
      <c r="Z18">
        <v>12639</v>
      </c>
      <c r="AA18">
        <v>13397</v>
      </c>
      <c r="AB18" t="s">
        <v>40</v>
      </c>
      <c r="AE18" s="3" t="s">
        <v>34</v>
      </c>
      <c r="AF18">
        <v>1344027</v>
      </c>
      <c r="AH18" s="3" t="s">
        <v>48</v>
      </c>
      <c r="AI18">
        <v>1832562</v>
      </c>
      <c r="AK18" s="3" t="s">
        <v>71</v>
      </c>
      <c r="AL18">
        <v>877716</v>
      </c>
      <c r="AN18" s="3">
        <v>42</v>
      </c>
      <c r="AO18">
        <v>2030</v>
      </c>
      <c r="AQ18" s="3" t="s">
        <v>99</v>
      </c>
      <c r="AR18">
        <v>10292.752688172042</v>
      </c>
      <c r="AS18">
        <v>8938.5483870967746</v>
      </c>
      <c r="AT18">
        <v>10921.376344086022</v>
      </c>
      <c r="AU18">
        <v>13292.946236559139</v>
      </c>
    </row>
    <row r="19" spans="1:49" x14ac:dyDescent="0.3">
      <c r="A19">
        <v>1017</v>
      </c>
      <c r="B19" t="s">
        <v>60</v>
      </c>
      <c r="C19" t="s">
        <v>29</v>
      </c>
      <c r="D19" t="s">
        <v>61</v>
      </c>
      <c r="E19" t="s">
        <v>62</v>
      </c>
      <c r="F19" t="s">
        <v>32</v>
      </c>
      <c r="G19" s="1">
        <v>46183</v>
      </c>
      <c r="H19" t="s">
        <v>68</v>
      </c>
      <c r="I19" t="s">
        <v>57</v>
      </c>
      <c r="J19" t="s">
        <v>58</v>
      </c>
      <c r="K19" t="s">
        <v>78</v>
      </c>
      <c r="L19">
        <v>56</v>
      </c>
      <c r="M19">
        <v>17192</v>
      </c>
      <c r="N19">
        <v>11036.81</v>
      </c>
      <c r="O19">
        <v>6155.19</v>
      </c>
      <c r="P19">
        <v>51</v>
      </c>
      <c r="Q19">
        <v>4.7</v>
      </c>
      <c r="R19">
        <v>15</v>
      </c>
      <c r="S19" t="s">
        <v>48</v>
      </c>
      <c r="T19" t="s">
        <v>38</v>
      </c>
      <c r="U19" t="s">
        <v>74</v>
      </c>
      <c r="V19">
        <v>13.08</v>
      </c>
      <c r="W19">
        <v>80.27</v>
      </c>
      <c r="X19">
        <v>12354</v>
      </c>
      <c r="Y19">
        <v>16086</v>
      </c>
      <c r="Z19">
        <v>11464</v>
      </c>
      <c r="AA19">
        <v>11942</v>
      </c>
      <c r="AB19" t="s">
        <v>40</v>
      </c>
      <c r="AE19" s="3" t="s">
        <v>69</v>
      </c>
      <c r="AF19">
        <v>1074526</v>
      </c>
      <c r="AH19" s="3" t="s">
        <v>91</v>
      </c>
      <c r="AI19">
        <v>4892507</v>
      </c>
      <c r="AK19" s="3" t="s">
        <v>75</v>
      </c>
      <c r="AL19">
        <v>784217</v>
      </c>
      <c r="AN19" s="3">
        <v>43</v>
      </c>
      <c r="AO19">
        <v>12768</v>
      </c>
      <c r="AQ19" s="3" t="s">
        <v>100</v>
      </c>
      <c r="AR19">
        <v>10464.559523809523</v>
      </c>
      <c r="AS19">
        <v>9200.8095238095229</v>
      </c>
      <c r="AT19">
        <v>11480.571428571429</v>
      </c>
      <c r="AU19">
        <v>13581.761904761905</v>
      </c>
    </row>
    <row r="20" spans="1:49" x14ac:dyDescent="0.3">
      <c r="A20">
        <v>1018</v>
      </c>
      <c r="B20" t="s">
        <v>50</v>
      </c>
      <c r="C20" t="s">
        <v>29</v>
      </c>
      <c r="D20" t="s">
        <v>51</v>
      </c>
      <c r="E20" t="s">
        <v>52</v>
      </c>
      <c r="F20" t="s">
        <v>53</v>
      </c>
      <c r="G20" s="1">
        <v>46076</v>
      </c>
      <c r="H20" t="s">
        <v>33</v>
      </c>
      <c r="I20" t="s">
        <v>57</v>
      </c>
      <c r="J20" t="s">
        <v>83</v>
      </c>
      <c r="K20" t="s">
        <v>47</v>
      </c>
      <c r="L20">
        <v>35</v>
      </c>
      <c r="M20">
        <v>6650</v>
      </c>
      <c r="N20">
        <v>4766.3</v>
      </c>
      <c r="O20">
        <v>1883.7</v>
      </c>
      <c r="P20">
        <v>139</v>
      </c>
      <c r="Q20">
        <v>4.4000000000000004</v>
      </c>
      <c r="R20">
        <v>5</v>
      </c>
      <c r="S20" t="s">
        <v>48</v>
      </c>
      <c r="T20" t="s">
        <v>49</v>
      </c>
      <c r="U20" t="s">
        <v>74</v>
      </c>
      <c r="V20">
        <v>19.07</v>
      </c>
      <c r="W20">
        <v>72.87</v>
      </c>
      <c r="X20">
        <v>6638</v>
      </c>
      <c r="Y20">
        <v>8803</v>
      </c>
      <c r="Z20">
        <v>5531</v>
      </c>
      <c r="AA20">
        <v>5858</v>
      </c>
      <c r="AB20" t="s">
        <v>79</v>
      </c>
      <c r="AE20" s="3" t="s">
        <v>91</v>
      </c>
      <c r="AF20">
        <v>4892507</v>
      </c>
      <c r="AK20" s="3" t="s">
        <v>54</v>
      </c>
      <c r="AL20">
        <v>669226</v>
      </c>
      <c r="AN20" s="3">
        <v>44</v>
      </c>
      <c r="AO20">
        <v>5548.5</v>
      </c>
      <c r="AQ20" s="3" t="s">
        <v>54</v>
      </c>
      <c r="AR20">
        <v>9782.7887323943669</v>
      </c>
      <c r="AS20">
        <v>8564.9718309859163</v>
      </c>
      <c r="AT20">
        <v>10800.211267605633</v>
      </c>
      <c r="AU20">
        <v>12918.915492957747</v>
      </c>
    </row>
    <row r="21" spans="1:49" x14ac:dyDescent="0.3">
      <c r="A21">
        <v>1019</v>
      </c>
      <c r="B21" t="s">
        <v>60</v>
      </c>
      <c r="C21" t="s">
        <v>29</v>
      </c>
      <c r="D21" t="s">
        <v>61</v>
      </c>
      <c r="E21" t="s">
        <v>62</v>
      </c>
      <c r="F21" t="s">
        <v>32</v>
      </c>
      <c r="G21" s="1">
        <v>46058</v>
      </c>
      <c r="H21" t="s">
        <v>33</v>
      </c>
      <c r="I21" t="s">
        <v>80</v>
      </c>
      <c r="J21" t="s">
        <v>82</v>
      </c>
      <c r="K21" t="s">
        <v>78</v>
      </c>
      <c r="L21">
        <v>40</v>
      </c>
      <c r="M21">
        <v>11680</v>
      </c>
      <c r="N21">
        <v>7597.2</v>
      </c>
      <c r="O21">
        <v>4082.8</v>
      </c>
      <c r="P21">
        <v>57</v>
      </c>
      <c r="Q21">
        <v>4.7</v>
      </c>
      <c r="R21">
        <v>10</v>
      </c>
      <c r="S21" t="s">
        <v>48</v>
      </c>
      <c r="T21" t="s">
        <v>49</v>
      </c>
      <c r="U21" t="s">
        <v>39</v>
      </c>
      <c r="V21">
        <v>13.08</v>
      </c>
      <c r="W21">
        <v>80.27</v>
      </c>
      <c r="X21">
        <v>12435</v>
      </c>
      <c r="Y21">
        <v>16171</v>
      </c>
      <c r="Z21">
        <v>11234</v>
      </c>
      <c r="AA21">
        <v>14561</v>
      </c>
      <c r="AB21" t="s">
        <v>56</v>
      </c>
      <c r="AK21" s="3" t="s">
        <v>68</v>
      </c>
      <c r="AL21">
        <v>937114</v>
      </c>
      <c r="AN21" s="3">
        <v>45</v>
      </c>
      <c r="AO21">
        <v>12948</v>
      </c>
      <c r="AQ21" s="3" t="s">
        <v>101</v>
      </c>
      <c r="AR21">
        <v>10442.768421052631</v>
      </c>
      <c r="AS21">
        <v>9250.6842105263149</v>
      </c>
      <c r="AT21">
        <v>11322.863157894737</v>
      </c>
      <c r="AU21">
        <v>13305.621052631579</v>
      </c>
    </row>
    <row r="22" spans="1:49" x14ac:dyDescent="0.3">
      <c r="A22">
        <v>1020</v>
      </c>
      <c r="B22" t="s">
        <v>41</v>
      </c>
      <c r="C22" t="s">
        <v>29</v>
      </c>
      <c r="D22" t="s">
        <v>42</v>
      </c>
      <c r="E22" t="s">
        <v>43</v>
      </c>
      <c r="F22" t="s">
        <v>44</v>
      </c>
      <c r="G22" s="1">
        <v>46033</v>
      </c>
      <c r="H22" t="s">
        <v>45</v>
      </c>
      <c r="I22" t="s">
        <v>80</v>
      </c>
      <c r="J22" t="s">
        <v>82</v>
      </c>
      <c r="K22" t="s">
        <v>59</v>
      </c>
      <c r="L22">
        <v>7</v>
      </c>
      <c r="M22">
        <v>2401</v>
      </c>
      <c r="N22">
        <v>1685.95</v>
      </c>
      <c r="O22">
        <v>715.05</v>
      </c>
      <c r="P22">
        <v>214</v>
      </c>
      <c r="Q22">
        <v>4.8</v>
      </c>
      <c r="R22">
        <v>0</v>
      </c>
      <c r="S22" t="s">
        <v>37</v>
      </c>
      <c r="T22" t="s">
        <v>38</v>
      </c>
      <c r="U22" t="s">
        <v>39</v>
      </c>
      <c r="V22">
        <v>28.61</v>
      </c>
      <c r="W22">
        <v>77.2</v>
      </c>
      <c r="X22">
        <v>10701</v>
      </c>
      <c r="Y22">
        <v>14442</v>
      </c>
      <c r="Z22">
        <v>9297</v>
      </c>
      <c r="AA22">
        <v>12235</v>
      </c>
      <c r="AB22" t="s">
        <v>63</v>
      </c>
      <c r="AK22" s="3" t="s">
        <v>91</v>
      </c>
      <c r="AL22">
        <v>4892507</v>
      </c>
      <c r="AN22" s="3">
        <v>46</v>
      </c>
      <c r="AO22">
        <v>10967.6</v>
      </c>
      <c r="AQ22" s="3" t="s">
        <v>91</v>
      </c>
      <c r="AR22">
        <v>10156.776</v>
      </c>
      <c r="AS22">
        <v>8901.518</v>
      </c>
      <c r="AT22">
        <v>10997.132</v>
      </c>
      <c r="AU22">
        <v>13210.34</v>
      </c>
    </row>
    <row r="23" spans="1:49" x14ac:dyDescent="0.3">
      <c r="A23">
        <v>1021</v>
      </c>
      <c r="B23" t="s">
        <v>65</v>
      </c>
      <c r="C23" t="s">
        <v>29</v>
      </c>
      <c r="D23" t="s">
        <v>66</v>
      </c>
      <c r="E23" t="s">
        <v>67</v>
      </c>
      <c r="F23" t="s">
        <v>32</v>
      </c>
      <c r="G23" s="1">
        <v>46151</v>
      </c>
      <c r="H23" t="s">
        <v>54</v>
      </c>
      <c r="I23" t="s">
        <v>80</v>
      </c>
      <c r="J23" t="s">
        <v>81</v>
      </c>
      <c r="K23" t="s">
        <v>78</v>
      </c>
      <c r="L23">
        <v>35</v>
      </c>
      <c r="M23">
        <v>14070</v>
      </c>
      <c r="N23">
        <v>8188.83</v>
      </c>
      <c r="O23">
        <v>5881.17</v>
      </c>
      <c r="P23">
        <v>185</v>
      </c>
      <c r="Q23">
        <v>3.8</v>
      </c>
      <c r="R23">
        <v>10</v>
      </c>
      <c r="S23" t="s">
        <v>37</v>
      </c>
      <c r="T23" t="s">
        <v>49</v>
      </c>
      <c r="U23" t="s">
        <v>74</v>
      </c>
      <c r="V23">
        <v>9.93</v>
      </c>
      <c r="W23">
        <v>76.260000000000005</v>
      </c>
      <c r="X23">
        <v>14505</v>
      </c>
      <c r="Y23">
        <v>16785</v>
      </c>
      <c r="Z23">
        <v>13737</v>
      </c>
      <c r="AA23">
        <v>14497</v>
      </c>
      <c r="AB23" t="s">
        <v>79</v>
      </c>
      <c r="AD23">
        <v>5</v>
      </c>
      <c r="AE23" s="2" t="s">
        <v>90</v>
      </c>
      <c r="AF23" t="s">
        <v>92</v>
      </c>
      <c r="AG23">
        <v>6</v>
      </c>
      <c r="AH23" s="2" t="s">
        <v>90</v>
      </c>
      <c r="AI23" t="s">
        <v>92</v>
      </c>
      <c r="AN23" s="3">
        <v>47</v>
      </c>
      <c r="AO23">
        <v>11347</v>
      </c>
      <c r="AP23">
        <v>8</v>
      </c>
      <c r="AQ23" s="2" t="s">
        <v>90</v>
      </c>
      <c r="AR23" t="s">
        <v>103</v>
      </c>
    </row>
    <row r="24" spans="1:49" x14ac:dyDescent="0.3">
      <c r="A24">
        <v>1022</v>
      </c>
      <c r="B24" t="s">
        <v>60</v>
      </c>
      <c r="C24" t="s">
        <v>29</v>
      </c>
      <c r="D24" t="s">
        <v>61</v>
      </c>
      <c r="E24" t="s">
        <v>62</v>
      </c>
      <c r="F24" t="s">
        <v>32</v>
      </c>
      <c r="G24" s="1">
        <v>46091</v>
      </c>
      <c r="H24" t="s">
        <v>71</v>
      </c>
      <c r="I24" t="s">
        <v>34</v>
      </c>
      <c r="J24" t="s">
        <v>46</v>
      </c>
      <c r="K24" t="s">
        <v>78</v>
      </c>
      <c r="L24">
        <v>51</v>
      </c>
      <c r="M24">
        <v>15147</v>
      </c>
      <c r="N24">
        <v>9290.42</v>
      </c>
      <c r="O24">
        <v>5856.58</v>
      </c>
      <c r="P24">
        <v>225</v>
      </c>
      <c r="Q24">
        <v>4.3</v>
      </c>
      <c r="R24">
        <v>0</v>
      </c>
      <c r="S24" t="s">
        <v>64</v>
      </c>
      <c r="T24" t="s">
        <v>38</v>
      </c>
      <c r="U24" t="s">
        <v>39</v>
      </c>
      <c r="V24">
        <v>13.08</v>
      </c>
      <c r="W24">
        <v>80.27</v>
      </c>
      <c r="X24">
        <v>7839</v>
      </c>
      <c r="Y24">
        <v>12060</v>
      </c>
      <c r="Z24">
        <v>6379</v>
      </c>
      <c r="AA24">
        <v>6837</v>
      </c>
      <c r="AB24" t="s">
        <v>79</v>
      </c>
      <c r="AE24" s="3" t="s">
        <v>42</v>
      </c>
      <c r="AF24">
        <v>862464</v>
      </c>
      <c r="AH24" s="3" t="s">
        <v>57</v>
      </c>
      <c r="AI24">
        <v>1273672</v>
      </c>
      <c r="AN24" s="3">
        <v>48</v>
      </c>
      <c r="AO24">
        <v>3527</v>
      </c>
      <c r="AQ24" s="3" t="s">
        <v>40</v>
      </c>
      <c r="AR24">
        <v>124</v>
      </c>
    </row>
    <row r="25" spans="1:49" x14ac:dyDescent="0.3">
      <c r="A25">
        <v>1023</v>
      </c>
      <c r="B25" t="s">
        <v>50</v>
      </c>
      <c r="C25" t="s">
        <v>29</v>
      </c>
      <c r="D25" t="s">
        <v>51</v>
      </c>
      <c r="E25" t="s">
        <v>52</v>
      </c>
      <c r="F25" t="s">
        <v>53</v>
      </c>
      <c r="G25" s="1">
        <v>46077</v>
      </c>
      <c r="H25" t="s">
        <v>33</v>
      </c>
      <c r="I25" t="s">
        <v>57</v>
      </c>
      <c r="J25" t="s">
        <v>83</v>
      </c>
      <c r="K25" t="s">
        <v>47</v>
      </c>
      <c r="L25">
        <v>60</v>
      </c>
      <c r="M25">
        <v>12240</v>
      </c>
      <c r="N25">
        <v>7229.22</v>
      </c>
      <c r="O25">
        <v>5010.78</v>
      </c>
      <c r="P25">
        <v>158</v>
      </c>
      <c r="Q25">
        <v>3.5</v>
      </c>
      <c r="R25">
        <v>5</v>
      </c>
      <c r="S25" t="s">
        <v>37</v>
      </c>
      <c r="T25" t="s">
        <v>76</v>
      </c>
      <c r="U25" t="s">
        <v>55</v>
      </c>
      <c r="V25">
        <v>19.07</v>
      </c>
      <c r="W25">
        <v>72.87</v>
      </c>
      <c r="X25">
        <v>12737</v>
      </c>
      <c r="Y25">
        <v>16285</v>
      </c>
      <c r="Z25">
        <v>11601</v>
      </c>
      <c r="AA25">
        <v>13496</v>
      </c>
      <c r="AB25" t="s">
        <v>79</v>
      </c>
      <c r="AE25" s="3" t="s">
        <v>30</v>
      </c>
      <c r="AF25">
        <v>991350</v>
      </c>
      <c r="AH25" s="4" t="s">
        <v>83</v>
      </c>
      <c r="AI25">
        <v>606087</v>
      </c>
      <c r="AN25" s="3">
        <v>49</v>
      </c>
      <c r="AO25">
        <v>4983.5</v>
      </c>
      <c r="AQ25" s="3" t="s">
        <v>79</v>
      </c>
      <c r="AR25">
        <v>135</v>
      </c>
    </row>
    <row r="26" spans="1:49" x14ac:dyDescent="0.3">
      <c r="A26">
        <v>1024</v>
      </c>
      <c r="B26" t="s">
        <v>50</v>
      </c>
      <c r="C26" t="s">
        <v>29</v>
      </c>
      <c r="D26" t="s">
        <v>51</v>
      </c>
      <c r="E26" t="s">
        <v>52</v>
      </c>
      <c r="F26" t="s">
        <v>53</v>
      </c>
      <c r="G26" s="1">
        <v>46110</v>
      </c>
      <c r="H26" t="s">
        <v>71</v>
      </c>
      <c r="I26" t="s">
        <v>69</v>
      </c>
      <c r="J26" t="s">
        <v>72</v>
      </c>
      <c r="K26" t="s">
        <v>78</v>
      </c>
      <c r="L26">
        <v>19</v>
      </c>
      <c r="M26">
        <v>4161</v>
      </c>
      <c r="N26">
        <v>2947.31</v>
      </c>
      <c r="O26">
        <v>1213.69</v>
      </c>
      <c r="P26">
        <v>53</v>
      </c>
      <c r="Q26">
        <v>4.2</v>
      </c>
      <c r="R26">
        <v>5</v>
      </c>
      <c r="S26" t="s">
        <v>48</v>
      </c>
      <c r="T26" t="s">
        <v>76</v>
      </c>
      <c r="U26" t="s">
        <v>74</v>
      </c>
      <c r="V26">
        <v>19.07</v>
      </c>
      <c r="W26">
        <v>72.87</v>
      </c>
      <c r="X26">
        <v>8173</v>
      </c>
      <c r="Y26">
        <v>11097</v>
      </c>
      <c r="Z26">
        <v>6175</v>
      </c>
      <c r="AA26">
        <v>9304</v>
      </c>
      <c r="AB26" t="s">
        <v>40</v>
      </c>
      <c r="AE26" s="3" t="s">
        <v>66</v>
      </c>
      <c r="AF26">
        <v>868822</v>
      </c>
      <c r="AH26" s="4" t="s">
        <v>58</v>
      </c>
      <c r="AI26">
        <v>667585</v>
      </c>
      <c r="AN26" s="3">
        <v>50</v>
      </c>
      <c r="AO26">
        <v>11044</v>
      </c>
      <c r="AQ26" s="3" t="s">
        <v>63</v>
      </c>
      <c r="AR26">
        <v>131</v>
      </c>
    </row>
    <row r="27" spans="1:49" x14ac:dyDescent="0.3">
      <c r="A27">
        <v>1025</v>
      </c>
      <c r="B27" t="s">
        <v>41</v>
      </c>
      <c r="C27" t="s">
        <v>29</v>
      </c>
      <c r="D27" t="s">
        <v>42</v>
      </c>
      <c r="E27" t="s">
        <v>43</v>
      </c>
      <c r="F27" t="s">
        <v>44</v>
      </c>
      <c r="G27" s="1">
        <v>46149</v>
      </c>
      <c r="H27" t="s">
        <v>54</v>
      </c>
      <c r="I27" t="s">
        <v>69</v>
      </c>
      <c r="J27" t="s">
        <v>70</v>
      </c>
      <c r="K27" t="s">
        <v>36</v>
      </c>
      <c r="L27">
        <v>11</v>
      </c>
      <c r="M27">
        <v>3927</v>
      </c>
      <c r="N27">
        <v>2831.58</v>
      </c>
      <c r="O27">
        <v>1095.42</v>
      </c>
      <c r="P27">
        <v>70</v>
      </c>
      <c r="Q27">
        <v>4.7</v>
      </c>
      <c r="R27">
        <v>5</v>
      </c>
      <c r="S27" t="s">
        <v>64</v>
      </c>
      <c r="T27" t="s">
        <v>38</v>
      </c>
      <c r="U27" t="s">
        <v>74</v>
      </c>
      <c r="V27">
        <v>28.61</v>
      </c>
      <c r="W27">
        <v>77.2</v>
      </c>
      <c r="X27">
        <v>14533</v>
      </c>
      <c r="Y27">
        <v>15967</v>
      </c>
      <c r="Z27">
        <v>13543</v>
      </c>
      <c r="AA27">
        <v>14713</v>
      </c>
      <c r="AB27" t="s">
        <v>40</v>
      </c>
      <c r="AE27" s="3" t="s">
        <v>51</v>
      </c>
      <c r="AF27">
        <v>1234477</v>
      </c>
      <c r="AH27" s="3" t="s">
        <v>80</v>
      </c>
      <c r="AI27">
        <v>1200282</v>
      </c>
      <c r="AN27" s="3">
        <v>51</v>
      </c>
      <c r="AO27">
        <v>17192</v>
      </c>
      <c r="AQ27" s="3" t="s">
        <v>56</v>
      </c>
      <c r="AR27">
        <v>110</v>
      </c>
    </row>
    <row r="28" spans="1:49" x14ac:dyDescent="0.3">
      <c r="A28">
        <v>1026</v>
      </c>
      <c r="B28" t="s">
        <v>65</v>
      </c>
      <c r="C28" t="s">
        <v>29</v>
      </c>
      <c r="D28" t="s">
        <v>66</v>
      </c>
      <c r="E28" t="s">
        <v>67</v>
      </c>
      <c r="F28" t="s">
        <v>32</v>
      </c>
      <c r="G28" s="1">
        <v>46079</v>
      </c>
      <c r="H28" t="s">
        <v>33</v>
      </c>
      <c r="I28" t="s">
        <v>57</v>
      </c>
      <c r="J28" t="s">
        <v>58</v>
      </c>
      <c r="K28" t="s">
        <v>59</v>
      </c>
      <c r="L28">
        <v>9</v>
      </c>
      <c r="M28">
        <v>2547</v>
      </c>
      <c r="N28">
        <v>1997.22</v>
      </c>
      <c r="O28">
        <v>549.78</v>
      </c>
      <c r="P28">
        <v>255</v>
      </c>
      <c r="Q28">
        <v>3.5</v>
      </c>
      <c r="R28">
        <v>10</v>
      </c>
      <c r="S28" t="s">
        <v>48</v>
      </c>
      <c r="T28" t="s">
        <v>76</v>
      </c>
      <c r="U28" t="s">
        <v>39</v>
      </c>
      <c r="V28">
        <v>9.93</v>
      </c>
      <c r="W28">
        <v>76.260000000000005</v>
      </c>
      <c r="X28">
        <v>9447</v>
      </c>
      <c r="Y28">
        <v>13236</v>
      </c>
      <c r="Z28">
        <v>8432</v>
      </c>
      <c r="AA28">
        <v>10068</v>
      </c>
      <c r="AB28" t="s">
        <v>56</v>
      </c>
      <c r="AE28" s="3" t="s">
        <v>61</v>
      </c>
      <c r="AF28">
        <v>935394</v>
      </c>
      <c r="AH28" s="4" t="s">
        <v>81</v>
      </c>
      <c r="AI28">
        <v>599757</v>
      </c>
      <c r="AN28" s="3">
        <v>52</v>
      </c>
      <c r="AO28">
        <v>9766.5</v>
      </c>
      <c r="AQ28" s="3" t="s">
        <v>91</v>
      </c>
      <c r="AR28">
        <v>500</v>
      </c>
    </row>
    <row r="29" spans="1:49" x14ac:dyDescent="0.3">
      <c r="A29">
        <v>1027</v>
      </c>
      <c r="B29" t="s">
        <v>50</v>
      </c>
      <c r="C29" t="s">
        <v>29</v>
      </c>
      <c r="D29" t="s">
        <v>51</v>
      </c>
      <c r="E29" t="s">
        <v>52</v>
      </c>
      <c r="F29" t="s">
        <v>53</v>
      </c>
      <c r="G29" s="1">
        <v>46111</v>
      </c>
      <c r="H29" t="s">
        <v>71</v>
      </c>
      <c r="I29" t="s">
        <v>80</v>
      </c>
      <c r="J29" t="s">
        <v>82</v>
      </c>
      <c r="K29" t="s">
        <v>47</v>
      </c>
      <c r="L29">
        <v>36</v>
      </c>
      <c r="M29">
        <v>13284</v>
      </c>
      <c r="N29">
        <v>9398.85</v>
      </c>
      <c r="O29">
        <v>3885.15</v>
      </c>
      <c r="P29">
        <v>252</v>
      </c>
      <c r="Q29">
        <v>3.7</v>
      </c>
      <c r="R29">
        <v>5</v>
      </c>
      <c r="S29" t="s">
        <v>48</v>
      </c>
      <c r="T29" t="s">
        <v>38</v>
      </c>
      <c r="U29" t="s">
        <v>55</v>
      </c>
      <c r="V29">
        <v>19.07</v>
      </c>
      <c r="W29">
        <v>72.87</v>
      </c>
      <c r="X29">
        <v>8858</v>
      </c>
      <c r="Y29">
        <v>11175</v>
      </c>
      <c r="Z29">
        <v>7592</v>
      </c>
      <c r="AA29">
        <v>8486</v>
      </c>
      <c r="AB29" t="s">
        <v>79</v>
      </c>
      <c r="AE29" s="3" t="s">
        <v>91</v>
      </c>
      <c r="AF29">
        <v>4892507</v>
      </c>
      <c r="AH29" s="4" t="s">
        <v>82</v>
      </c>
      <c r="AI29">
        <v>600525</v>
      </c>
      <c r="AN29" s="3">
        <v>53</v>
      </c>
      <c r="AO29">
        <v>4161</v>
      </c>
      <c r="AR29">
        <v>4</v>
      </c>
    </row>
    <row r="30" spans="1:49" x14ac:dyDescent="0.3">
      <c r="A30">
        <v>1028</v>
      </c>
      <c r="B30" t="s">
        <v>50</v>
      </c>
      <c r="C30" t="s">
        <v>29</v>
      </c>
      <c r="D30" t="s">
        <v>51</v>
      </c>
      <c r="E30" t="s">
        <v>52</v>
      </c>
      <c r="F30" t="s">
        <v>53</v>
      </c>
      <c r="G30" s="1">
        <v>46163</v>
      </c>
      <c r="H30" t="s">
        <v>54</v>
      </c>
      <c r="I30" t="s">
        <v>34</v>
      </c>
      <c r="J30" t="s">
        <v>46</v>
      </c>
      <c r="K30" t="s">
        <v>59</v>
      </c>
      <c r="L30">
        <v>20</v>
      </c>
      <c r="M30">
        <v>8080</v>
      </c>
      <c r="N30">
        <v>4934.55</v>
      </c>
      <c r="O30">
        <v>3145.45</v>
      </c>
      <c r="P30">
        <v>161</v>
      </c>
      <c r="Q30">
        <v>4.5</v>
      </c>
      <c r="R30">
        <v>5</v>
      </c>
      <c r="S30" t="s">
        <v>37</v>
      </c>
      <c r="T30" t="s">
        <v>38</v>
      </c>
      <c r="U30" t="s">
        <v>74</v>
      </c>
      <c r="V30">
        <v>19.07</v>
      </c>
      <c r="W30">
        <v>72.87</v>
      </c>
      <c r="X30">
        <v>11009</v>
      </c>
      <c r="Y30">
        <v>12208</v>
      </c>
      <c r="Z30">
        <v>10453</v>
      </c>
      <c r="AA30">
        <v>11404</v>
      </c>
      <c r="AB30" t="s">
        <v>56</v>
      </c>
      <c r="AH30" s="3" t="s">
        <v>34</v>
      </c>
      <c r="AI30">
        <v>1344027</v>
      </c>
      <c r="AN30" s="3">
        <v>54</v>
      </c>
      <c r="AO30">
        <v>12044.666666666666</v>
      </c>
    </row>
    <row r="31" spans="1:49" x14ac:dyDescent="0.3">
      <c r="A31">
        <v>1029</v>
      </c>
      <c r="B31" t="s">
        <v>41</v>
      </c>
      <c r="C31" t="s">
        <v>29</v>
      </c>
      <c r="D31" t="s">
        <v>42</v>
      </c>
      <c r="E31" t="s">
        <v>43</v>
      </c>
      <c r="F31" t="s">
        <v>44</v>
      </c>
      <c r="G31" s="1">
        <v>46072</v>
      </c>
      <c r="H31" t="s">
        <v>33</v>
      </c>
      <c r="I31" t="s">
        <v>80</v>
      </c>
      <c r="J31" t="s">
        <v>81</v>
      </c>
      <c r="K31" t="s">
        <v>59</v>
      </c>
      <c r="L31">
        <v>22</v>
      </c>
      <c r="M31">
        <v>8954</v>
      </c>
      <c r="N31">
        <v>5498.05</v>
      </c>
      <c r="O31">
        <v>3455.95</v>
      </c>
      <c r="P31">
        <v>90</v>
      </c>
      <c r="Q31">
        <v>4.8</v>
      </c>
      <c r="R31">
        <v>10</v>
      </c>
      <c r="S31" t="s">
        <v>48</v>
      </c>
      <c r="T31" t="s">
        <v>76</v>
      </c>
      <c r="U31" t="s">
        <v>39</v>
      </c>
      <c r="V31">
        <v>28.61</v>
      </c>
      <c r="W31">
        <v>77.2</v>
      </c>
      <c r="X31">
        <v>13010</v>
      </c>
      <c r="Y31">
        <v>16441</v>
      </c>
      <c r="Z31">
        <v>12444</v>
      </c>
      <c r="AA31">
        <v>14721</v>
      </c>
      <c r="AB31" t="s">
        <v>40</v>
      </c>
      <c r="AH31" s="4" t="s">
        <v>46</v>
      </c>
      <c r="AI31">
        <v>610570</v>
      </c>
      <c r="AN31" s="3">
        <v>55</v>
      </c>
      <c r="AO31">
        <v>9284</v>
      </c>
    </row>
    <row r="32" spans="1:49" x14ac:dyDescent="0.3">
      <c r="A32">
        <v>1030</v>
      </c>
      <c r="B32" t="s">
        <v>41</v>
      </c>
      <c r="C32" t="s">
        <v>29</v>
      </c>
      <c r="D32" t="s">
        <v>42</v>
      </c>
      <c r="E32" t="s">
        <v>43</v>
      </c>
      <c r="F32" t="s">
        <v>44</v>
      </c>
      <c r="G32" s="1">
        <v>46040</v>
      </c>
      <c r="H32" t="s">
        <v>45</v>
      </c>
      <c r="I32" t="s">
        <v>34</v>
      </c>
      <c r="J32" t="s">
        <v>35</v>
      </c>
      <c r="K32" t="s">
        <v>73</v>
      </c>
      <c r="L32">
        <v>31</v>
      </c>
      <c r="M32">
        <v>6014</v>
      </c>
      <c r="N32">
        <v>4789.9799999999996</v>
      </c>
      <c r="O32">
        <v>1224.02</v>
      </c>
      <c r="P32">
        <v>239</v>
      </c>
      <c r="Q32">
        <v>4</v>
      </c>
      <c r="R32">
        <v>15</v>
      </c>
      <c r="S32" t="s">
        <v>64</v>
      </c>
      <c r="T32" t="s">
        <v>76</v>
      </c>
      <c r="U32" t="s">
        <v>55</v>
      </c>
      <c r="V32">
        <v>28.61</v>
      </c>
      <c r="W32">
        <v>77.2</v>
      </c>
      <c r="X32">
        <v>8845</v>
      </c>
      <c r="Y32">
        <v>10192</v>
      </c>
      <c r="Z32">
        <v>7323</v>
      </c>
      <c r="AA32">
        <v>8878</v>
      </c>
      <c r="AB32" t="s">
        <v>56</v>
      </c>
      <c r="AH32" s="4" t="s">
        <v>77</v>
      </c>
      <c r="AI32">
        <v>359737</v>
      </c>
      <c r="AN32" s="3">
        <v>57</v>
      </c>
      <c r="AO32">
        <v>10005</v>
      </c>
      <c r="AQ32" s="6">
        <v>40</v>
      </c>
      <c r="AR32" s="5">
        <v>9812</v>
      </c>
    </row>
    <row r="33" spans="1:51" x14ac:dyDescent="0.3">
      <c r="A33">
        <v>1031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s="1">
        <v>46169</v>
      </c>
      <c r="H33" t="s">
        <v>54</v>
      </c>
      <c r="I33" t="s">
        <v>57</v>
      </c>
      <c r="J33" t="s">
        <v>58</v>
      </c>
      <c r="K33" t="s">
        <v>59</v>
      </c>
      <c r="L33">
        <v>38</v>
      </c>
      <c r="M33">
        <v>10678</v>
      </c>
      <c r="N33">
        <v>7524.35</v>
      </c>
      <c r="O33">
        <v>3153.65</v>
      </c>
      <c r="P33">
        <v>226</v>
      </c>
      <c r="Q33">
        <v>4</v>
      </c>
      <c r="R33">
        <v>0</v>
      </c>
      <c r="S33" t="s">
        <v>37</v>
      </c>
      <c r="T33" t="s">
        <v>49</v>
      </c>
      <c r="U33" t="s">
        <v>39</v>
      </c>
      <c r="V33">
        <v>12.97</v>
      </c>
      <c r="W33">
        <v>77.59</v>
      </c>
      <c r="X33">
        <v>11953</v>
      </c>
      <c r="Y33">
        <v>15687</v>
      </c>
      <c r="Z33">
        <v>10498</v>
      </c>
      <c r="AA33">
        <v>13723</v>
      </c>
      <c r="AB33" t="s">
        <v>79</v>
      </c>
      <c r="AH33" s="4" t="s">
        <v>35</v>
      </c>
      <c r="AI33">
        <v>373720</v>
      </c>
      <c r="AN33" s="3">
        <v>58</v>
      </c>
      <c r="AO33">
        <v>10933.25</v>
      </c>
      <c r="AQ33" s="6">
        <v>41</v>
      </c>
      <c r="AR33" s="5">
        <v>2500</v>
      </c>
      <c r="AY33">
        <v>3</v>
      </c>
    </row>
    <row r="34" spans="1:51" x14ac:dyDescent="0.3">
      <c r="A34">
        <v>1032</v>
      </c>
      <c r="B34" t="s">
        <v>50</v>
      </c>
      <c r="C34" t="s">
        <v>29</v>
      </c>
      <c r="D34" t="s">
        <v>51</v>
      </c>
      <c r="E34" t="s">
        <v>52</v>
      </c>
      <c r="F34" t="s">
        <v>53</v>
      </c>
      <c r="G34" s="1">
        <v>46164</v>
      </c>
      <c r="H34" t="s">
        <v>54</v>
      </c>
      <c r="I34" t="s">
        <v>57</v>
      </c>
      <c r="J34" t="s">
        <v>83</v>
      </c>
      <c r="K34" t="s">
        <v>59</v>
      </c>
      <c r="L34">
        <v>13</v>
      </c>
      <c r="M34">
        <v>3055</v>
      </c>
      <c r="N34">
        <v>1967.61</v>
      </c>
      <c r="O34">
        <v>1087.3900000000001</v>
      </c>
      <c r="P34">
        <v>286</v>
      </c>
      <c r="Q34">
        <v>4.7</v>
      </c>
      <c r="R34">
        <v>15</v>
      </c>
      <c r="S34" t="s">
        <v>64</v>
      </c>
      <c r="T34" t="s">
        <v>38</v>
      </c>
      <c r="U34" t="s">
        <v>39</v>
      </c>
      <c r="V34">
        <v>19.07</v>
      </c>
      <c r="W34">
        <v>72.87</v>
      </c>
      <c r="X34">
        <v>9456</v>
      </c>
      <c r="Y34">
        <v>13438</v>
      </c>
      <c r="Z34">
        <v>8466</v>
      </c>
      <c r="AA34">
        <v>12933</v>
      </c>
      <c r="AB34" t="s">
        <v>63</v>
      </c>
      <c r="AH34" s="3" t="s">
        <v>69</v>
      </c>
      <c r="AI34">
        <v>1074526</v>
      </c>
      <c r="AN34" s="3">
        <v>59</v>
      </c>
      <c r="AO34">
        <v>6541</v>
      </c>
      <c r="AQ34" s="6">
        <v>42</v>
      </c>
      <c r="AR34" s="5">
        <v>2030</v>
      </c>
    </row>
    <row r="35" spans="1:51" x14ac:dyDescent="0.3">
      <c r="A35">
        <v>1033</v>
      </c>
      <c r="B35" t="s">
        <v>41</v>
      </c>
      <c r="C35" t="s">
        <v>29</v>
      </c>
      <c r="D35" t="s">
        <v>42</v>
      </c>
      <c r="E35" t="s">
        <v>43</v>
      </c>
      <c r="F35" t="s">
        <v>44</v>
      </c>
      <c r="G35" s="1">
        <v>46135</v>
      </c>
      <c r="H35" t="s">
        <v>75</v>
      </c>
      <c r="I35" t="s">
        <v>34</v>
      </c>
      <c r="J35" t="s">
        <v>46</v>
      </c>
      <c r="K35" t="s">
        <v>78</v>
      </c>
      <c r="L35">
        <v>37</v>
      </c>
      <c r="M35">
        <v>14319</v>
      </c>
      <c r="N35">
        <v>8402.4599999999991</v>
      </c>
      <c r="O35">
        <v>5916.54</v>
      </c>
      <c r="P35">
        <v>229</v>
      </c>
      <c r="Q35">
        <v>4.5999999999999996</v>
      </c>
      <c r="R35">
        <v>0</v>
      </c>
      <c r="S35" t="s">
        <v>64</v>
      </c>
      <c r="T35" t="s">
        <v>49</v>
      </c>
      <c r="U35" t="s">
        <v>74</v>
      </c>
      <c r="V35">
        <v>28.61</v>
      </c>
      <c r="W35">
        <v>77.2</v>
      </c>
      <c r="X35">
        <v>7074</v>
      </c>
      <c r="Y35">
        <v>10226</v>
      </c>
      <c r="Z35">
        <v>5764</v>
      </c>
      <c r="AA35">
        <v>6758</v>
      </c>
      <c r="AB35" t="s">
        <v>63</v>
      </c>
      <c r="AH35" s="4" t="s">
        <v>70</v>
      </c>
      <c r="AI35">
        <v>503788</v>
      </c>
      <c r="AN35" s="3">
        <v>60</v>
      </c>
      <c r="AO35">
        <v>12240</v>
      </c>
      <c r="AQ35" s="6">
        <v>43</v>
      </c>
      <c r="AR35" s="5">
        <v>12768</v>
      </c>
    </row>
    <row r="36" spans="1:51" x14ac:dyDescent="0.3">
      <c r="A36">
        <v>1034</v>
      </c>
      <c r="B36" t="s">
        <v>41</v>
      </c>
      <c r="C36" t="s">
        <v>29</v>
      </c>
      <c r="D36" t="s">
        <v>42</v>
      </c>
      <c r="E36" t="s">
        <v>43</v>
      </c>
      <c r="F36" t="s">
        <v>44</v>
      </c>
      <c r="G36" s="1">
        <v>46188</v>
      </c>
      <c r="H36" t="s">
        <v>68</v>
      </c>
      <c r="I36" t="s">
        <v>34</v>
      </c>
      <c r="J36" t="s">
        <v>77</v>
      </c>
      <c r="K36" t="s">
        <v>36</v>
      </c>
      <c r="L36">
        <v>14</v>
      </c>
      <c r="M36">
        <v>5516</v>
      </c>
      <c r="N36">
        <v>4369.97</v>
      </c>
      <c r="O36">
        <v>1146.03</v>
      </c>
      <c r="P36">
        <v>139</v>
      </c>
      <c r="Q36">
        <v>4.3</v>
      </c>
      <c r="R36">
        <v>5</v>
      </c>
      <c r="S36" t="s">
        <v>64</v>
      </c>
      <c r="T36" t="s">
        <v>38</v>
      </c>
      <c r="U36" t="s">
        <v>39</v>
      </c>
      <c r="V36">
        <v>28.61</v>
      </c>
      <c r="W36">
        <v>77.2</v>
      </c>
      <c r="X36">
        <v>14791</v>
      </c>
      <c r="Y36">
        <v>17440</v>
      </c>
      <c r="Z36">
        <v>12952</v>
      </c>
      <c r="AA36">
        <v>15702</v>
      </c>
      <c r="AB36" t="s">
        <v>56</v>
      </c>
      <c r="AH36" s="4" t="s">
        <v>72</v>
      </c>
      <c r="AI36">
        <v>570738</v>
      </c>
      <c r="AN36" s="3">
        <v>61</v>
      </c>
      <c r="AO36">
        <v>9406</v>
      </c>
      <c r="AQ36" s="6">
        <v>44</v>
      </c>
      <c r="AR36" s="5">
        <v>5548.5</v>
      </c>
    </row>
    <row r="37" spans="1:51" x14ac:dyDescent="0.3">
      <c r="A37">
        <v>1035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s="1">
        <v>46068</v>
      </c>
      <c r="H37" t="s">
        <v>33</v>
      </c>
      <c r="I37" t="s">
        <v>69</v>
      </c>
      <c r="J37" t="s">
        <v>70</v>
      </c>
      <c r="K37" t="s">
        <v>78</v>
      </c>
      <c r="L37">
        <v>53</v>
      </c>
      <c r="M37">
        <v>16006</v>
      </c>
      <c r="N37">
        <v>12537.26</v>
      </c>
      <c r="O37">
        <v>3468.74</v>
      </c>
      <c r="P37">
        <v>187</v>
      </c>
      <c r="Q37">
        <v>3.9</v>
      </c>
      <c r="R37">
        <v>15</v>
      </c>
      <c r="S37" t="s">
        <v>48</v>
      </c>
      <c r="T37" t="s">
        <v>49</v>
      </c>
      <c r="U37" t="s">
        <v>55</v>
      </c>
      <c r="V37">
        <v>12.97</v>
      </c>
      <c r="W37">
        <v>77.59</v>
      </c>
      <c r="X37">
        <v>5827</v>
      </c>
      <c r="Y37">
        <v>7474</v>
      </c>
      <c r="Z37">
        <v>4601</v>
      </c>
      <c r="AA37">
        <v>6433</v>
      </c>
      <c r="AB37" t="s">
        <v>79</v>
      </c>
      <c r="AH37" s="3" t="s">
        <v>91</v>
      </c>
      <c r="AI37">
        <v>4892507</v>
      </c>
      <c r="AN37" s="3">
        <v>62</v>
      </c>
      <c r="AO37">
        <v>7202</v>
      </c>
      <c r="AQ37" s="6">
        <v>45</v>
      </c>
      <c r="AR37" s="5">
        <v>12948</v>
      </c>
    </row>
    <row r="38" spans="1:51" x14ac:dyDescent="0.3">
      <c r="A38">
        <v>1036</v>
      </c>
      <c r="B38" t="s">
        <v>50</v>
      </c>
      <c r="C38" t="s">
        <v>29</v>
      </c>
      <c r="D38" t="s">
        <v>51</v>
      </c>
      <c r="E38" t="s">
        <v>52</v>
      </c>
      <c r="F38" t="s">
        <v>53</v>
      </c>
      <c r="G38" s="1">
        <v>46042</v>
      </c>
      <c r="H38" t="s">
        <v>45</v>
      </c>
      <c r="I38" t="s">
        <v>57</v>
      </c>
      <c r="J38" t="s">
        <v>83</v>
      </c>
      <c r="K38" t="s">
        <v>47</v>
      </c>
      <c r="L38">
        <v>29</v>
      </c>
      <c r="M38">
        <v>6467</v>
      </c>
      <c r="N38">
        <v>5034.3900000000003</v>
      </c>
      <c r="O38">
        <v>1432.61</v>
      </c>
      <c r="P38">
        <v>180</v>
      </c>
      <c r="Q38">
        <v>3.7</v>
      </c>
      <c r="R38">
        <v>0</v>
      </c>
      <c r="S38" t="s">
        <v>64</v>
      </c>
      <c r="T38" t="s">
        <v>76</v>
      </c>
      <c r="U38" t="s">
        <v>74</v>
      </c>
      <c r="V38">
        <v>19.07</v>
      </c>
      <c r="W38">
        <v>72.87</v>
      </c>
      <c r="X38">
        <v>6707</v>
      </c>
      <c r="Y38">
        <v>11175</v>
      </c>
      <c r="Z38">
        <v>4979</v>
      </c>
      <c r="AA38">
        <v>7935</v>
      </c>
      <c r="AB38" t="s">
        <v>40</v>
      </c>
      <c r="AN38" s="3">
        <v>63</v>
      </c>
      <c r="AO38">
        <v>13926</v>
      </c>
      <c r="AQ38" s="6">
        <v>46</v>
      </c>
      <c r="AR38" s="5">
        <v>10967.6</v>
      </c>
    </row>
    <row r="39" spans="1:51" x14ac:dyDescent="0.3">
      <c r="A39">
        <v>1037</v>
      </c>
      <c r="B39" t="s">
        <v>50</v>
      </c>
      <c r="C39" t="s">
        <v>29</v>
      </c>
      <c r="D39" t="s">
        <v>51</v>
      </c>
      <c r="E39" t="s">
        <v>52</v>
      </c>
      <c r="F39" t="s">
        <v>53</v>
      </c>
      <c r="G39" s="1">
        <v>46091</v>
      </c>
      <c r="H39" t="s">
        <v>71</v>
      </c>
      <c r="I39" t="s">
        <v>34</v>
      </c>
      <c r="J39" t="s">
        <v>77</v>
      </c>
      <c r="K39" t="s">
        <v>47</v>
      </c>
      <c r="L39">
        <v>8</v>
      </c>
      <c r="M39">
        <v>2344</v>
      </c>
      <c r="N39">
        <v>1680.55</v>
      </c>
      <c r="O39">
        <v>663.45</v>
      </c>
      <c r="P39">
        <v>49</v>
      </c>
      <c r="Q39">
        <v>4</v>
      </c>
      <c r="R39">
        <v>10</v>
      </c>
      <c r="S39" t="s">
        <v>48</v>
      </c>
      <c r="T39" t="s">
        <v>76</v>
      </c>
      <c r="U39" t="s">
        <v>39</v>
      </c>
      <c r="V39">
        <v>19.07</v>
      </c>
      <c r="W39">
        <v>72.87</v>
      </c>
      <c r="X39">
        <v>8686</v>
      </c>
      <c r="Y39">
        <v>11864</v>
      </c>
      <c r="Z39">
        <v>7839</v>
      </c>
      <c r="AA39">
        <v>8427</v>
      </c>
      <c r="AB39" t="s">
        <v>56</v>
      </c>
      <c r="AN39" s="3">
        <v>65</v>
      </c>
      <c r="AO39">
        <v>5415</v>
      </c>
      <c r="AQ39" s="6">
        <v>47</v>
      </c>
      <c r="AR39" s="5">
        <v>11347</v>
      </c>
    </row>
    <row r="40" spans="1:51" x14ac:dyDescent="0.3">
      <c r="A40">
        <v>1038</v>
      </c>
      <c r="B40" t="s">
        <v>50</v>
      </c>
      <c r="C40" t="s">
        <v>29</v>
      </c>
      <c r="D40" t="s">
        <v>51</v>
      </c>
      <c r="E40" t="s">
        <v>52</v>
      </c>
      <c r="F40" t="s">
        <v>53</v>
      </c>
      <c r="G40" s="1">
        <v>46142</v>
      </c>
      <c r="H40" t="s">
        <v>75</v>
      </c>
      <c r="I40" t="s">
        <v>69</v>
      </c>
      <c r="J40" t="s">
        <v>72</v>
      </c>
      <c r="K40" t="s">
        <v>78</v>
      </c>
      <c r="L40">
        <v>27</v>
      </c>
      <c r="M40">
        <v>6102</v>
      </c>
      <c r="N40">
        <v>3639.88</v>
      </c>
      <c r="O40">
        <v>2462.12</v>
      </c>
      <c r="P40">
        <v>164</v>
      </c>
      <c r="Q40">
        <v>3.7</v>
      </c>
      <c r="R40">
        <v>5</v>
      </c>
      <c r="S40" t="s">
        <v>37</v>
      </c>
      <c r="T40" t="s">
        <v>38</v>
      </c>
      <c r="U40" t="s">
        <v>74</v>
      </c>
      <c r="V40">
        <v>19.07</v>
      </c>
      <c r="W40">
        <v>72.87</v>
      </c>
      <c r="X40">
        <v>13043</v>
      </c>
      <c r="Y40">
        <v>16106</v>
      </c>
      <c r="Z40">
        <v>12121</v>
      </c>
      <c r="AA40">
        <v>13820</v>
      </c>
      <c r="AB40" t="s">
        <v>63</v>
      </c>
      <c r="AN40" s="3">
        <v>66</v>
      </c>
      <c r="AO40">
        <v>14331.75</v>
      </c>
      <c r="AQ40" s="6">
        <v>48</v>
      </c>
      <c r="AR40" s="5">
        <v>3527</v>
      </c>
    </row>
    <row r="41" spans="1:51" x14ac:dyDescent="0.3">
      <c r="A41">
        <v>1039</v>
      </c>
      <c r="B41" t="s">
        <v>41</v>
      </c>
      <c r="C41" t="s">
        <v>29</v>
      </c>
      <c r="D41" t="s">
        <v>42</v>
      </c>
      <c r="E41" t="s">
        <v>43</v>
      </c>
      <c r="F41" t="s">
        <v>44</v>
      </c>
      <c r="G41" s="1">
        <v>46067</v>
      </c>
      <c r="H41" t="s">
        <v>33</v>
      </c>
      <c r="I41" t="s">
        <v>69</v>
      </c>
      <c r="J41" t="s">
        <v>72</v>
      </c>
      <c r="K41" t="s">
        <v>73</v>
      </c>
      <c r="L41">
        <v>44</v>
      </c>
      <c r="M41">
        <v>11000</v>
      </c>
      <c r="N41">
        <v>6842.99</v>
      </c>
      <c r="O41">
        <v>4157.01</v>
      </c>
      <c r="P41">
        <v>121</v>
      </c>
      <c r="Q41">
        <v>4.8</v>
      </c>
      <c r="R41">
        <v>10</v>
      </c>
      <c r="S41" t="s">
        <v>37</v>
      </c>
      <c r="T41" t="s">
        <v>38</v>
      </c>
      <c r="U41" t="s">
        <v>55</v>
      </c>
      <c r="V41">
        <v>28.61</v>
      </c>
      <c r="W41">
        <v>77.2</v>
      </c>
      <c r="X41">
        <v>13645</v>
      </c>
      <c r="Y41">
        <v>17874</v>
      </c>
      <c r="Z41">
        <v>12558</v>
      </c>
      <c r="AA41">
        <v>14436</v>
      </c>
      <c r="AB41" t="s">
        <v>63</v>
      </c>
      <c r="AN41" s="3">
        <v>67</v>
      </c>
      <c r="AO41">
        <v>8170</v>
      </c>
      <c r="AQ41" s="6">
        <v>49</v>
      </c>
      <c r="AR41" s="5">
        <v>4983.5</v>
      </c>
    </row>
    <row r="42" spans="1:51" x14ac:dyDescent="0.3">
      <c r="A42">
        <v>1040</v>
      </c>
      <c r="B42" t="s">
        <v>60</v>
      </c>
      <c r="C42" t="s">
        <v>29</v>
      </c>
      <c r="D42" t="s">
        <v>61</v>
      </c>
      <c r="E42" t="s">
        <v>62</v>
      </c>
      <c r="F42" t="s">
        <v>32</v>
      </c>
      <c r="G42" s="1">
        <v>46058</v>
      </c>
      <c r="H42" t="s">
        <v>33</v>
      </c>
      <c r="I42" t="s">
        <v>69</v>
      </c>
      <c r="J42" t="s">
        <v>70</v>
      </c>
      <c r="K42" t="s">
        <v>73</v>
      </c>
      <c r="L42">
        <v>32</v>
      </c>
      <c r="M42">
        <v>7456</v>
      </c>
      <c r="N42">
        <v>5514.67</v>
      </c>
      <c r="O42">
        <v>1941.33</v>
      </c>
      <c r="P42">
        <v>277</v>
      </c>
      <c r="Q42">
        <v>3.8</v>
      </c>
      <c r="R42">
        <v>10</v>
      </c>
      <c r="S42" t="s">
        <v>48</v>
      </c>
      <c r="T42" t="s">
        <v>49</v>
      </c>
      <c r="U42" t="s">
        <v>74</v>
      </c>
      <c r="V42">
        <v>13.08</v>
      </c>
      <c r="W42">
        <v>80.27</v>
      </c>
      <c r="X42">
        <v>12455</v>
      </c>
      <c r="Y42">
        <v>13729</v>
      </c>
      <c r="Z42">
        <v>11374</v>
      </c>
      <c r="AA42">
        <v>12719</v>
      </c>
      <c r="AB42" t="s">
        <v>40</v>
      </c>
      <c r="AN42" s="3">
        <v>68</v>
      </c>
      <c r="AO42">
        <v>11655.5</v>
      </c>
      <c r="AQ42" s="6">
        <v>50</v>
      </c>
      <c r="AR42" s="5">
        <v>11044</v>
      </c>
    </row>
    <row r="43" spans="1:51" x14ac:dyDescent="0.3">
      <c r="A43">
        <v>1041</v>
      </c>
      <c r="B43" t="s">
        <v>60</v>
      </c>
      <c r="C43" t="s">
        <v>29</v>
      </c>
      <c r="D43" t="s">
        <v>61</v>
      </c>
      <c r="E43" t="s">
        <v>62</v>
      </c>
      <c r="F43" t="s">
        <v>32</v>
      </c>
      <c r="G43" s="1">
        <v>46029</v>
      </c>
      <c r="H43" t="s">
        <v>45</v>
      </c>
      <c r="I43" t="s">
        <v>34</v>
      </c>
      <c r="J43" t="s">
        <v>46</v>
      </c>
      <c r="K43" t="s">
        <v>73</v>
      </c>
      <c r="L43">
        <v>5</v>
      </c>
      <c r="M43">
        <v>2030</v>
      </c>
      <c r="N43">
        <v>1173.3599999999999</v>
      </c>
      <c r="O43">
        <v>856.64</v>
      </c>
      <c r="P43">
        <v>52</v>
      </c>
      <c r="Q43">
        <v>4.8</v>
      </c>
      <c r="R43">
        <v>0</v>
      </c>
      <c r="S43" t="s">
        <v>37</v>
      </c>
      <c r="T43" t="s">
        <v>76</v>
      </c>
      <c r="U43" t="s">
        <v>39</v>
      </c>
      <c r="V43">
        <v>13.08</v>
      </c>
      <c r="W43">
        <v>80.27</v>
      </c>
      <c r="X43">
        <v>12254</v>
      </c>
      <c r="Y43">
        <v>15552</v>
      </c>
      <c r="Z43">
        <v>10676</v>
      </c>
      <c r="AA43">
        <v>13949</v>
      </c>
      <c r="AB43" t="s">
        <v>40</v>
      </c>
      <c r="AN43" s="3">
        <v>69</v>
      </c>
      <c r="AO43">
        <v>6173</v>
      </c>
      <c r="AQ43" s="6">
        <v>51</v>
      </c>
      <c r="AR43" s="5">
        <v>17192</v>
      </c>
    </row>
    <row r="44" spans="1:51" x14ac:dyDescent="0.3">
      <c r="A44">
        <v>1042</v>
      </c>
      <c r="B44" t="s">
        <v>60</v>
      </c>
      <c r="C44" t="s">
        <v>29</v>
      </c>
      <c r="D44" t="s">
        <v>61</v>
      </c>
      <c r="E44" t="s">
        <v>62</v>
      </c>
      <c r="F44" t="s">
        <v>32</v>
      </c>
      <c r="G44" s="1">
        <v>46068</v>
      </c>
      <c r="H44" t="s">
        <v>33</v>
      </c>
      <c r="I44" t="s">
        <v>34</v>
      </c>
      <c r="J44" t="s">
        <v>77</v>
      </c>
      <c r="K44" t="s">
        <v>78</v>
      </c>
      <c r="L44">
        <v>41</v>
      </c>
      <c r="M44">
        <v>8897</v>
      </c>
      <c r="N44">
        <v>6552.09</v>
      </c>
      <c r="O44">
        <v>2344.91</v>
      </c>
      <c r="P44">
        <v>132</v>
      </c>
      <c r="Q44">
        <v>5</v>
      </c>
      <c r="R44">
        <v>15</v>
      </c>
      <c r="S44" t="s">
        <v>64</v>
      </c>
      <c r="T44" t="s">
        <v>76</v>
      </c>
      <c r="U44" t="s">
        <v>55</v>
      </c>
      <c r="V44">
        <v>13.08</v>
      </c>
      <c r="W44">
        <v>80.27</v>
      </c>
      <c r="X44">
        <v>14448</v>
      </c>
      <c r="Y44">
        <v>17389</v>
      </c>
      <c r="Z44">
        <v>12547</v>
      </c>
      <c r="AA44">
        <v>14828</v>
      </c>
      <c r="AB44" t="s">
        <v>56</v>
      </c>
      <c r="AN44" s="3">
        <v>70</v>
      </c>
      <c r="AO44">
        <v>3927</v>
      </c>
      <c r="AQ44" s="6">
        <v>52</v>
      </c>
      <c r="AR44" s="5">
        <v>9766.5</v>
      </c>
    </row>
    <row r="45" spans="1:51" x14ac:dyDescent="0.3">
      <c r="A45">
        <v>1043</v>
      </c>
      <c r="B45" t="s">
        <v>41</v>
      </c>
      <c r="C45" t="s">
        <v>29</v>
      </c>
      <c r="D45" t="s">
        <v>42</v>
      </c>
      <c r="E45" t="s">
        <v>43</v>
      </c>
      <c r="F45" t="s">
        <v>44</v>
      </c>
      <c r="G45" s="1">
        <v>46176</v>
      </c>
      <c r="H45" t="s">
        <v>68</v>
      </c>
      <c r="I45" t="s">
        <v>34</v>
      </c>
      <c r="J45" t="s">
        <v>35</v>
      </c>
      <c r="K45" t="s">
        <v>47</v>
      </c>
      <c r="L45">
        <v>39</v>
      </c>
      <c r="M45">
        <v>16029</v>
      </c>
      <c r="N45">
        <v>10671.2</v>
      </c>
      <c r="O45">
        <v>5357.8</v>
      </c>
      <c r="P45">
        <v>189</v>
      </c>
      <c r="Q45">
        <v>3.8</v>
      </c>
      <c r="R45">
        <v>5</v>
      </c>
      <c r="S45" t="s">
        <v>37</v>
      </c>
      <c r="T45" t="s">
        <v>49</v>
      </c>
      <c r="U45" t="s">
        <v>74</v>
      </c>
      <c r="V45">
        <v>28.61</v>
      </c>
      <c r="W45">
        <v>77.2</v>
      </c>
      <c r="X45">
        <v>5060</v>
      </c>
      <c r="Y45">
        <v>8269</v>
      </c>
      <c r="Z45">
        <v>4087</v>
      </c>
      <c r="AA45">
        <v>4651</v>
      </c>
      <c r="AB45" t="s">
        <v>63</v>
      </c>
      <c r="AN45" s="3">
        <v>71</v>
      </c>
      <c r="AO45">
        <v>10012.5</v>
      </c>
      <c r="AQ45" s="6">
        <v>53</v>
      </c>
      <c r="AR45" s="5">
        <v>4161</v>
      </c>
    </row>
    <row r="46" spans="1:51" x14ac:dyDescent="0.3">
      <c r="A46">
        <v>1044</v>
      </c>
      <c r="B46" t="s">
        <v>50</v>
      </c>
      <c r="C46" t="s">
        <v>29</v>
      </c>
      <c r="D46" t="s">
        <v>51</v>
      </c>
      <c r="E46" t="s">
        <v>52</v>
      </c>
      <c r="F46" t="s">
        <v>53</v>
      </c>
      <c r="G46" s="1">
        <v>46072</v>
      </c>
      <c r="H46" t="s">
        <v>33</v>
      </c>
      <c r="I46" t="s">
        <v>80</v>
      </c>
      <c r="J46" t="s">
        <v>81</v>
      </c>
      <c r="K46" t="s">
        <v>78</v>
      </c>
      <c r="L46">
        <v>57</v>
      </c>
      <c r="M46">
        <v>22686</v>
      </c>
      <c r="N46">
        <v>15005.75</v>
      </c>
      <c r="O46">
        <v>7680.25</v>
      </c>
      <c r="P46">
        <v>289</v>
      </c>
      <c r="Q46">
        <v>4.9000000000000004</v>
      </c>
      <c r="R46">
        <v>15</v>
      </c>
      <c r="S46" t="s">
        <v>64</v>
      </c>
      <c r="T46" t="s">
        <v>38</v>
      </c>
      <c r="U46" t="s">
        <v>74</v>
      </c>
      <c r="V46">
        <v>19.07</v>
      </c>
      <c r="W46">
        <v>72.87</v>
      </c>
      <c r="X46">
        <v>12856</v>
      </c>
      <c r="Y46">
        <v>14813</v>
      </c>
      <c r="Z46">
        <v>12096</v>
      </c>
      <c r="AA46">
        <v>12165</v>
      </c>
      <c r="AB46" t="s">
        <v>56</v>
      </c>
      <c r="AN46" s="3">
        <v>72</v>
      </c>
      <c r="AO46">
        <v>9751.75</v>
      </c>
      <c r="AQ46" s="6">
        <v>54</v>
      </c>
      <c r="AR46" s="5">
        <v>12044.666666666666</v>
      </c>
    </row>
    <row r="47" spans="1:51" x14ac:dyDescent="0.3">
      <c r="A47">
        <v>1045</v>
      </c>
      <c r="B47" t="s">
        <v>65</v>
      </c>
      <c r="C47" t="s">
        <v>29</v>
      </c>
      <c r="D47" t="s">
        <v>66</v>
      </c>
      <c r="E47" t="s">
        <v>67</v>
      </c>
      <c r="F47" t="s">
        <v>32</v>
      </c>
      <c r="G47" s="1">
        <v>46171</v>
      </c>
      <c r="H47" t="s">
        <v>54</v>
      </c>
      <c r="I47" t="s">
        <v>69</v>
      </c>
      <c r="J47" t="s">
        <v>72</v>
      </c>
      <c r="K47" t="s">
        <v>73</v>
      </c>
      <c r="L47">
        <v>36</v>
      </c>
      <c r="M47">
        <v>9432</v>
      </c>
      <c r="N47">
        <v>6308.66</v>
      </c>
      <c r="O47">
        <v>3123.34</v>
      </c>
      <c r="P47">
        <v>297</v>
      </c>
      <c r="Q47">
        <v>4.3</v>
      </c>
      <c r="R47">
        <v>5</v>
      </c>
      <c r="S47" t="s">
        <v>64</v>
      </c>
      <c r="T47" t="s">
        <v>49</v>
      </c>
      <c r="U47" t="s">
        <v>39</v>
      </c>
      <c r="V47">
        <v>9.93</v>
      </c>
      <c r="W47">
        <v>76.260000000000005</v>
      </c>
      <c r="X47">
        <v>8809</v>
      </c>
      <c r="Y47">
        <v>10940</v>
      </c>
      <c r="Z47">
        <v>7252</v>
      </c>
      <c r="AA47">
        <v>8872</v>
      </c>
      <c r="AB47" t="s">
        <v>63</v>
      </c>
      <c r="AN47" s="3">
        <v>73</v>
      </c>
      <c r="AO47">
        <v>18156</v>
      </c>
      <c r="AQ47" s="6">
        <v>55</v>
      </c>
      <c r="AR47" s="5">
        <v>9284</v>
      </c>
    </row>
    <row r="48" spans="1:51" x14ac:dyDescent="0.3">
      <c r="A48">
        <v>1046</v>
      </c>
      <c r="B48" t="s">
        <v>41</v>
      </c>
      <c r="C48" t="s">
        <v>29</v>
      </c>
      <c r="D48" t="s">
        <v>42</v>
      </c>
      <c r="E48" t="s">
        <v>43</v>
      </c>
      <c r="F48" t="s">
        <v>44</v>
      </c>
      <c r="G48" s="1">
        <v>46120</v>
      </c>
      <c r="H48" t="s">
        <v>75</v>
      </c>
      <c r="I48" t="s">
        <v>34</v>
      </c>
      <c r="J48" t="s">
        <v>77</v>
      </c>
      <c r="K48" t="s">
        <v>59</v>
      </c>
      <c r="L48">
        <v>31</v>
      </c>
      <c r="M48">
        <v>8711</v>
      </c>
      <c r="N48">
        <v>5896.36</v>
      </c>
      <c r="O48">
        <v>2814.64</v>
      </c>
      <c r="P48">
        <v>157</v>
      </c>
      <c r="Q48">
        <v>4</v>
      </c>
      <c r="R48">
        <v>0</v>
      </c>
      <c r="S48" t="s">
        <v>37</v>
      </c>
      <c r="T48" t="s">
        <v>76</v>
      </c>
      <c r="U48" t="s">
        <v>55</v>
      </c>
      <c r="V48">
        <v>28.61</v>
      </c>
      <c r="W48">
        <v>77.2</v>
      </c>
      <c r="X48">
        <v>11061</v>
      </c>
      <c r="Y48">
        <v>15231</v>
      </c>
      <c r="Z48">
        <v>10015</v>
      </c>
      <c r="AA48">
        <v>13646</v>
      </c>
      <c r="AB48" t="s">
        <v>40</v>
      </c>
      <c r="AN48" s="3">
        <v>74</v>
      </c>
      <c r="AO48">
        <v>17466</v>
      </c>
      <c r="AQ48" s="6">
        <v>57</v>
      </c>
      <c r="AR48" s="5">
        <v>10005</v>
      </c>
    </row>
    <row r="49" spans="1:44" x14ac:dyDescent="0.3">
      <c r="A49">
        <v>1047</v>
      </c>
      <c r="B49" t="s">
        <v>65</v>
      </c>
      <c r="C49" t="s">
        <v>29</v>
      </c>
      <c r="D49" t="s">
        <v>66</v>
      </c>
      <c r="E49" t="s">
        <v>67</v>
      </c>
      <c r="F49" t="s">
        <v>32</v>
      </c>
      <c r="G49" s="1">
        <v>46082</v>
      </c>
      <c r="H49" t="s">
        <v>71</v>
      </c>
      <c r="I49" t="s">
        <v>69</v>
      </c>
      <c r="J49" t="s">
        <v>72</v>
      </c>
      <c r="K49" t="s">
        <v>78</v>
      </c>
      <c r="L49">
        <v>22</v>
      </c>
      <c r="M49">
        <v>4202</v>
      </c>
      <c r="N49">
        <v>2854.25</v>
      </c>
      <c r="O49">
        <v>1347.75</v>
      </c>
      <c r="P49">
        <v>210</v>
      </c>
      <c r="Q49">
        <v>4.5999999999999996</v>
      </c>
      <c r="R49">
        <v>15</v>
      </c>
      <c r="S49" t="s">
        <v>64</v>
      </c>
      <c r="T49" t="s">
        <v>49</v>
      </c>
      <c r="U49" t="s">
        <v>55</v>
      </c>
      <c r="V49">
        <v>9.93</v>
      </c>
      <c r="W49">
        <v>76.260000000000005</v>
      </c>
      <c r="X49">
        <v>11407</v>
      </c>
      <c r="Y49">
        <v>13688</v>
      </c>
      <c r="Z49">
        <v>9954</v>
      </c>
      <c r="AA49">
        <v>10526</v>
      </c>
      <c r="AB49" t="s">
        <v>79</v>
      </c>
      <c r="AN49" s="3">
        <v>75</v>
      </c>
      <c r="AO49">
        <v>4945</v>
      </c>
      <c r="AQ49" s="6">
        <v>58</v>
      </c>
      <c r="AR49" s="5">
        <v>10933.25</v>
      </c>
    </row>
    <row r="50" spans="1:44" x14ac:dyDescent="0.3">
      <c r="A50">
        <v>1048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s="1">
        <v>46201</v>
      </c>
      <c r="H50" t="s">
        <v>68</v>
      </c>
      <c r="I50" t="s">
        <v>34</v>
      </c>
      <c r="J50" t="s">
        <v>77</v>
      </c>
      <c r="K50" t="s">
        <v>73</v>
      </c>
      <c r="L50">
        <v>35</v>
      </c>
      <c r="M50">
        <v>11025</v>
      </c>
      <c r="N50">
        <v>6973.68</v>
      </c>
      <c r="O50">
        <v>4051.32</v>
      </c>
      <c r="P50">
        <v>225</v>
      </c>
      <c r="Q50">
        <v>3.5</v>
      </c>
      <c r="R50">
        <v>5</v>
      </c>
      <c r="S50" t="s">
        <v>37</v>
      </c>
      <c r="T50" t="s">
        <v>49</v>
      </c>
      <c r="U50" t="s">
        <v>39</v>
      </c>
      <c r="V50">
        <v>12.97</v>
      </c>
      <c r="W50">
        <v>77.59</v>
      </c>
      <c r="X50">
        <v>12150</v>
      </c>
      <c r="Y50">
        <v>14705</v>
      </c>
      <c r="Z50">
        <v>11586</v>
      </c>
      <c r="AA50">
        <v>11883</v>
      </c>
      <c r="AB50" t="s">
        <v>79</v>
      </c>
      <c r="AN50" s="3">
        <v>76</v>
      </c>
      <c r="AO50">
        <v>9030.3333333333339</v>
      </c>
      <c r="AQ50" s="6">
        <v>59</v>
      </c>
      <c r="AR50" s="5">
        <v>6541</v>
      </c>
    </row>
    <row r="51" spans="1:44" x14ac:dyDescent="0.3">
      <c r="A51">
        <v>1049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s="1">
        <v>46157</v>
      </c>
      <c r="H51" t="s">
        <v>54</v>
      </c>
      <c r="I51" t="s">
        <v>34</v>
      </c>
      <c r="J51" t="s">
        <v>77</v>
      </c>
      <c r="K51" t="s">
        <v>73</v>
      </c>
      <c r="L51">
        <v>38</v>
      </c>
      <c r="M51">
        <v>8702</v>
      </c>
      <c r="N51">
        <v>6084.32</v>
      </c>
      <c r="O51">
        <v>2617.6799999999998</v>
      </c>
      <c r="P51">
        <v>124</v>
      </c>
      <c r="Q51">
        <v>4.3</v>
      </c>
      <c r="R51">
        <v>15</v>
      </c>
      <c r="S51" t="s">
        <v>37</v>
      </c>
      <c r="T51" t="s">
        <v>49</v>
      </c>
      <c r="U51" t="s">
        <v>39</v>
      </c>
      <c r="V51">
        <v>12.97</v>
      </c>
      <c r="W51">
        <v>77.59</v>
      </c>
      <c r="X51">
        <v>7095</v>
      </c>
      <c r="Y51">
        <v>8786</v>
      </c>
      <c r="Z51">
        <v>6012</v>
      </c>
      <c r="AA51">
        <v>7607</v>
      </c>
      <c r="AB51" t="s">
        <v>79</v>
      </c>
      <c r="AN51" s="3">
        <v>77</v>
      </c>
      <c r="AO51">
        <v>15186.5</v>
      </c>
      <c r="AQ51" s="6">
        <v>60</v>
      </c>
      <c r="AR51" s="5">
        <v>12240</v>
      </c>
    </row>
    <row r="52" spans="1:44" x14ac:dyDescent="0.3">
      <c r="A52">
        <v>1050</v>
      </c>
      <c r="B52" t="s">
        <v>41</v>
      </c>
      <c r="C52" t="s">
        <v>29</v>
      </c>
      <c r="D52" t="s">
        <v>42</v>
      </c>
      <c r="E52" t="s">
        <v>43</v>
      </c>
      <c r="F52" t="s">
        <v>44</v>
      </c>
      <c r="G52" s="1">
        <v>46197</v>
      </c>
      <c r="H52" t="s">
        <v>68</v>
      </c>
      <c r="I52" t="s">
        <v>80</v>
      </c>
      <c r="J52" t="s">
        <v>82</v>
      </c>
      <c r="K52" t="s">
        <v>78</v>
      </c>
      <c r="L52">
        <v>21</v>
      </c>
      <c r="M52">
        <v>8421</v>
      </c>
      <c r="N52">
        <v>4804.4399999999996</v>
      </c>
      <c r="O52">
        <v>3616.56</v>
      </c>
      <c r="P52">
        <v>204</v>
      </c>
      <c r="Q52">
        <v>4.5</v>
      </c>
      <c r="R52">
        <v>10</v>
      </c>
      <c r="S52" t="s">
        <v>48</v>
      </c>
      <c r="T52" t="s">
        <v>76</v>
      </c>
      <c r="U52" t="s">
        <v>39</v>
      </c>
      <c r="V52">
        <v>28.61</v>
      </c>
      <c r="W52">
        <v>77.2</v>
      </c>
      <c r="X52">
        <v>11804</v>
      </c>
      <c r="Y52">
        <v>14017</v>
      </c>
      <c r="Z52">
        <v>10198</v>
      </c>
      <c r="AA52">
        <v>12356</v>
      </c>
      <c r="AB52" t="s">
        <v>79</v>
      </c>
      <c r="AN52" s="3">
        <v>78</v>
      </c>
      <c r="AO52">
        <v>9862</v>
      </c>
      <c r="AQ52" s="6">
        <v>61</v>
      </c>
      <c r="AR52" s="5">
        <v>9406</v>
      </c>
    </row>
    <row r="53" spans="1:44" x14ac:dyDescent="0.3">
      <c r="A53">
        <v>1051</v>
      </c>
      <c r="B53" t="s">
        <v>50</v>
      </c>
      <c r="C53" t="s">
        <v>29</v>
      </c>
      <c r="D53" t="s">
        <v>51</v>
      </c>
      <c r="E53" t="s">
        <v>52</v>
      </c>
      <c r="F53" t="s">
        <v>53</v>
      </c>
      <c r="G53" s="1">
        <v>46196</v>
      </c>
      <c r="H53" t="s">
        <v>68</v>
      </c>
      <c r="I53" t="s">
        <v>69</v>
      </c>
      <c r="J53" t="s">
        <v>72</v>
      </c>
      <c r="K53" t="s">
        <v>78</v>
      </c>
      <c r="L53">
        <v>57</v>
      </c>
      <c r="M53">
        <v>14934</v>
      </c>
      <c r="N53">
        <v>9126.35</v>
      </c>
      <c r="O53">
        <v>5807.65</v>
      </c>
      <c r="P53">
        <v>226</v>
      </c>
      <c r="Q53">
        <v>4</v>
      </c>
      <c r="R53">
        <v>10</v>
      </c>
      <c r="S53" t="s">
        <v>64</v>
      </c>
      <c r="T53" t="s">
        <v>76</v>
      </c>
      <c r="U53" t="s">
        <v>55</v>
      </c>
      <c r="V53">
        <v>19.07</v>
      </c>
      <c r="W53">
        <v>72.87</v>
      </c>
      <c r="X53">
        <v>7095</v>
      </c>
      <c r="Y53">
        <v>10972</v>
      </c>
      <c r="Z53">
        <v>5145</v>
      </c>
      <c r="AA53">
        <v>6435</v>
      </c>
      <c r="AB53" t="s">
        <v>40</v>
      </c>
      <c r="AN53" s="3">
        <v>80</v>
      </c>
      <c r="AO53">
        <v>7531.5</v>
      </c>
      <c r="AQ53" s="6">
        <v>62</v>
      </c>
      <c r="AR53" s="5">
        <v>7202</v>
      </c>
    </row>
    <row r="54" spans="1:44" x14ac:dyDescent="0.3">
      <c r="A54">
        <v>1052</v>
      </c>
      <c r="B54" t="s">
        <v>41</v>
      </c>
      <c r="C54" t="s">
        <v>29</v>
      </c>
      <c r="D54" t="s">
        <v>42</v>
      </c>
      <c r="E54" t="s">
        <v>43</v>
      </c>
      <c r="F54" t="s">
        <v>44</v>
      </c>
      <c r="G54" s="1">
        <v>46143</v>
      </c>
      <c r="H54" t="s">
        <v>54</v>
      </c>
      <c r="I54" t="s">
        <v>80</v>
      </c>
      <c r="J54" t="s">
        <v>81</v>
      </c>
      <c r="K54" t="s">
        <v>47</v>
      </c>
      <c r="L54">
        <v>36</v>
      </c>
      <c r="M54">
        <v>13392</v>
      </c>
      <c r="N54">
        <v>8055.68</v>
      </c>
      <c r="O54">
        <v>5336.32</v>
      </c>
      <c r="P54">
        <v>256</v>
      </c>
      <c r="Q54">
        <v>3.9</v>
      </c>
      <c r="R54">
        <v>5</v>
      </c>
      <c r="S54" t="s">
        <v>64</v>
      </c>
      <c r="T54" t="s">
        <v>49</v>
      </c>
      <c r="U54" t="s">
        <v>39</v>
      </c>
      <c r="V54">
        <v>28.61</v>
      </c>
      <c r="W54">
        <v>77.2</v>
      </c>
      <c r="X54">
        <v>9144</v>
      </c>
      <c r="Y54">
        <v>14019</v>
      </c>
      <c r="Z54">
        <v>7286</v>
      </c>
      <c r="AA54">
        <v>12356</v>
      </c>
      <c r="AB54" t="s">
        <v>40</v>
      </c>
      <c r="AN54" s="3">
        <v>81</v>
      </c>
      <c r="AO54">
        <v>4874.666666666667</v>
      </c>
      <c r="AQ54" s="6">
        <v>63</v>
      </c>
      <c r="AR54" s="5">
        <v>13926</v>
      </c>
    </row>
    <row r="55" spans="1:44" x14ac:dyDescent="0.3">
      <c r="A55">
        <v>1053</v>
      </c>
      <c r="B55" t="s">
        <v>41</v>
      </c>
      <c r="C55" t="s">
        <v>29</v>
      </c>
      <c r="D55" t="s">
        <v>42</v>
      </c>
      <c r="E55" t="s">
        <v>43</v>
      </c>
      <c r="F55" t="s">
        <v>44</v>
      </c>
      <c r="G55" s="1">
        <v>46153</v>
      </c>
      <c r="H55" t="s">
        <v>54</v>
      </c>
      <c r="I55" t="s">
        <v>80</v>
      </c>
      <c r="J55" t="s">
        <v>82</v>
      </c>
      <c r="K55" t="s">
        <v>73</v>
      </c>
      <c r="L55">
        <v>29</v>
      </c>
      <c r="M55">
        <v>5684</v>
      </c>
      <c r="N55">
        <v>3507.56</v>
      </c>
      <c r="O55">
        <v>2176.44</v>
      </c>
      <c r="P55">
        <v>160</v>
      </c>
      <c r="Q55">
        <v>4.5</v>
      </c>
      <c r="R55">
        <v>0</v>
      </c>
      <c r="S55" t="s">
        <v>64</v>
      </c>
      <c r="T55" t="s">
        <v>49</v>
      </c>
      <c r="U55" t="s">
        <v>55</v>
      </c>
      <c r="V55">
        <v>28.61</v>
      </c>
      <c r="W55">
        <v>77.2</v>
      </c>
      <c r="X55">
        <v>7960</v>
      </c>
      <c r="Y55">
        <v>9844</v>
      </c>
      <c r="Z55">
        <v>6430</v>
      </c>
      <c r="AA55">
        <v>6938</v>
      </c>
      <c r="AB55" t="s">
        <v>40</v>
      </c>
      <c r="AN55" s="3">
        <v>82</v>
      </c>
      <c r="AO55">
        <v>9939.6666666666661</v>
      </c>
      <c r="AQ55" s="6">
        <v>65</v>
      </c>
      <c r="AR55" s="5">
        <v>5415</v>
      </c>
    </row>
    <row r="56" spans="1:44" x14ac:dyDescent="0.3">
      <c r="A56">
        <v>1054</v>
      </c>
      <c r="B56" t="s">
        <v>60</v>
      </c>
      <c r="C56" t="s">
        <v>29</v>
      </c>
      <c r="D56" t="s">
        <v>61</v>
      </c>
      <c r="E56" t="s">
        <v>62</v>
      </c>
      <c r="F56" t="s">
        <v>32</v>
      </c>
      <c r="G56" s="1">
        <v>46066</v>
      </c>
      <c r="H56" t="s">
        <v>33</v>
      </c>
      <c r="I56" t="s">
        <v>34</v>
      </c>
      <c r="J56" t="s">
        <v>77</v>
      </c>
      <c r="K56" t="s">
        <v>47</v>
      </c>
      <c r="L56">
        <v>48</v>
      </c>
      <c r="M56">
        <v>12720</v>
      </c>
      <c r="N56">
        <v>8295.25</v>
      </c>
      <c r="O56">
        <v>4424.75</v>
      </c>
      <c r="P56">
        <v>177</v>
      </c>
      <c r="Q56">
        <v>4.5999999999999996</v>
      </c>
      <c r="R56">
        <v>10</v>
      </c>
      <c r="S56" t="s">
        <v>48</v>
      </c>
      <c r="T56" t="s">
        <v>76</v>
      </c>
      <c r="U56" t="s">
        <v>55</v>
      </c>
      <c r="V56">
        <v>13.08</v>
      </c>
      <c r="W56">
        <v>80.27</v>
      </c>
      <c r="X56">
        <v>7806</v>
      </c>
      <c r="Y56">
        <v>9094</v>
      </c>
      <c r="Z56">
        <v>7243</v>
      </c>
      <c r="AA56">
        <v>7774</v>
      </c>
      <c r="AB56" t="s">
        <v>40</v>
      </c>
      <c r="AN56" s="3">
        <v>83</v>
      </c>
      <c r="AO56">
        <v>9412</v>
      </c>
      <c r="AQ56" s="6">
        <v>66</v>
      </c>
      <c r="AR56" s="5">
        <v>14331.75</v>
      </c>
    </row>
    <row r="57" spans="1:44" x14ac:dyDescent="0.3">
      <c r="A57">
        <v>1055</v>
      </c>
      <c r="B57" t="s">
        <v>41</v>
      </c>
      <c r="C57" t="s">
        <v>29</v>
      </c>
      <c r="D57" t="s">
        <v>42</v>
      </c>
      <c r="E57" t="s">
        <v>43</v>
      </c>
      <c r="F57" t="s">
        <v>44</v>
      </c>
      <c r="G57" s="1">
        <v>46198</v>
      </c>
      <c r="H57" t="s">
        <v>68</v>
      </c>
      <c r="I57" t="s">
        <v>80</v>
      </c>
      <c r="J57" t="s">
        <v>81</v>
      </c>
      <c r="K57" t="s">
        <v>47</v>
      </c>
      <c r="L57">
        <v>7</v>
      </c>
      <c r="M57">
        <v>1372</v>
      </c>
      <c r="N57">
        <v>849.94</v>
      </c>
      <c r="O57">
        <v>522.05999999999995</v>
      </c>
      <c r="P57">
        <v>149</v>
      </c>
      <c r="Q57">
        <v>3.8</v>
      </c>
      <c r="R57">
        <v>5</v>
      </c>
      <c r="S57" t="s">
        <v>48</v>
      </c>
      <c r="T57" t="s">
        <v>38</v>
      </c>
      <c r="U57" t="s">
        <v>39</v>
      </c>
      <c r="V57">
        <v>28.61</v>
      </c>
      <c r="W57">
        <v>77.2</v>
      </c>
      <c r="X57">
        <v>14974</v>
      </c>
      <c r="Y57">
        <v>19286</v>
      </c>
      <c r="Z57">
        <v>13310</v>
      </c>
      <c r="AA57">
        <v>16149</v>
      </c>
      <c r="AB57" t="s">
        <v>40</v>
      </c>
      <c r="AN57" s="3">
        <v>85</v>
      </c>
      <c r="AO57">
        <v>4598</v>
      </c>
      <c r="AQ57" s="6">
        <v>67</v>
      </c>
      <c r="AR57" s="5">
        <v>8170</v>
      </c>
    </row>
    <row r="58" spans="1:44" x14ac:dyDescent="0.3">
      <c r="A58">
        <v>1056</v>
      </c>
      <c r="B58" t="s">
        <v>65</v>
      </c>
      <c r="C58" t="s">
        <v>29</v>
      </c>
      <c r="D58" t="s">
        <v>66</v>
      </c>
      <c r="E58" t="s">
        <v>67</v>
      </c>
      <c r="F58" t="s">
        <v>32</v>
      </c>
      <c r="G58" s="1">
        <v>46201</v>
      </c>
      <c r="H58" t="s">
        <v>68</v>
      </c>
      <c r="I58" t="s">
        <v>34</v>
      </c>
      <c r="J58" t="s">
        <v>35</v>
      </c>
      <c r="K58" t="s">
        <v>78</v>
      </c>
      <c r="L58">
        <v>12</v>
      </c>
      <c r="M58">
        <v>2664</v>
      </c>
      <c r="N58">
        <v>1870.9</v>
      </c>
      <c r="O58">
        <v>793.1</v>
      </c>
      <c r="P58">
        <v>144</v>
      </c>
      <c r="Q58">
        <v>3.9</v>
      </c>
      <c r="R58">
        <v>15</v>
      </c>
      <c r="S58" t="s">
        <v>37</v>
      </c>
      <c r="T58" t="s">
        <v>38</v>
      </c>
      <c r="U58" t="s">
        <v>55</v>
      </c>
      <c r="V58">
        <v>9.93</v>
      </c>
      <c r="W58">
        <v>76.260000000000005</v>
      </c>
      <c r="X58">
        <v>12177</v>
      </c>
      <c r="Y58">
        <v>15188</v>
      </c>
      <c r="Z58">
        <v>10822</v>
      </c>
      <c r="AA58">
        <v>12049</v>
      </c>
      <c r="AB58" t="s">
        <v>56</v>
      </c>
      <c r="AN58" s="3">
        <v>86</v>
      </c>
      <c r="AO58">
        <v>10510.5</v>
      </c>
      <c r="AQ58" s="6">
        <v>68</v>
      </c>
      <c r="AR58" s="5">
        <v>11655.5</v>
      </c>
    </row>
    <row r="59" spans="1:44" x14ac:dyDescent="0.3">
      <c r="A59">
        <v>1057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s="1">
        <v>46088</v>
      </c>
      <c r="H59" t="s">
        <v>71</v>
      </c>
      <c r="I59" t="s">
        <v>34</v>
      </c>
      <c r="J59" t="s">
        <v>46</v>
      </c>
      <c r="K59" t="s">
        <v>59</v>
      </c>
      <c r="L59">
        <v>42</v>
      </c>
      <c r="M59">
        <v>12390</v>
      </c>
      <c r="N59">
        <v>9035.44</v>
      </c>
      <c r="O59">
        <v>3354.56</v>
      </c>
      <c r="P59">
        <v>198</v>
      </c>
      <c r="Q59">
        <v>4.9000000000000004</v>
      </c>
      <c r="R59">
        <v>5</v>
      </c>
      <c r="S59" t="s">
        <v>64</v>
      </c>
      <c r="T59" t="s">
        <v>76</v>
      </c>
      <c r="U59" t="s">
        <v>55</v>
      </c>
      <c r="V59">
        <v>12.97</v>
      </c>
      <c r="W59">
        <v>77.59</v>
      </c>
      <c r="X59">
        <v>6828</v>
      </c>
      <c r="Y59">
        <v>11000</v>
      </c>
      <c r="Z59">
        <v>5471</v>
      </c>
      <c r="AA59">
        <v>6793</v>
      </c>
      <c r="AB59" t="s">
        <v>56</v>
      </c>
      <c r="AN59" s="3">
        <v>87</v>
      </c>
      <c r="AO59">
        <v>9620</v>
      </c>
      <c r="AQ59" s="6">
        <v>69</v>
      </c>
      <c r="AR59" s="5">
        <v>6173</v>
      </c>
    </row>
    <row r="60" spans="1:44" x14ac:dyDescent="0.3">
      <c r="A60">
        <v>1058</v>
      </c>
      <c r="B60" t="s">
        <v>65</v>
      </c>
      <c r="C60" t="s">
        <v>29</v>
      </c>
      <c r="D60" t="s">
        <v>66</v>
      </c>
      <c r="E60" t="s">
        <v>67</v>
      </c>
      <c r="F60" t="s">
        <v>32</v>
      </c>
      <c r="G60" s="1">
        <v>46196</v>
      </c>
      <c r="H60" t="s">
        <v>68</v>
      </c>
      <c r="I60" t="s">
        <v>34</v>
      </c>
      <c r="J60" t="s">
        <v>35</v>
      </c>
      <c r="K60" t="s">
        <v>78</v>
      </c>
      <c r="L60">
        <v>8</v>
      </c>
      <c r="M60">
        <v>2792</v>
      </c>
      <c r="N60">
        <v>1859.85</v>
      </c>
      <c r="O60">
        <v>932.15</v>
      </c>
      <c r="P60">
        <v>294</v>
      </c>
      <c r="Q60">
        <v>4.4000000000000004</v>
      </c>
      <c r="R60">
        <v>15</v>
      </c>
      <c r="S60" t="s">
        <v>64</v>
      </c>
      <c r="T60" t="s">
        <v>49</v>
      </c>
      <c r="U60" t="s">
        <v>39</v>
      </c>
      <c r="V60">
        <v>9.93</v>
      </c>
      <c r="W60">
        <v>76.260000000000005</v>
      </c>
      <c r="X60">
        <v>9741</v>
      </c>
      <c r="Y60">
        <v>13674</v>
      </c>
      <c r="Z60">
        <v>8401</v>
      </c>
      <c r="AA60">
        <v>11750</v>
      </c>
      <c r="AB60" t="s">
        <v>40</v>
      </c>
      <c r="AN60" s="3">
        <v>89</v>
      </c>
      <c r="AO60">
        <v>6161</v>
      </c>
      <c r="AQ60" s="6">
        <v>70</v>
      </c>
      <c r="AR60" s="5">
        <v>3927</v>
      </c>
    </row>
    <row r="61" spans="1:44" x14ac:dyDescent="0.3">
      <c r="A61">
        <v>1059</v>
      </c>
      <c r="B61" t="s">
        <v>50</v>
      </c>
      <c r="C61" t="s">
        <v>29</v>
      </c>
      <c r="D61" t="s">
        <v>51</v>
      </c>
      <c r="E61" t="s">
        <v>52</v>
      </c>
      <c r="F61" t="s">
        <v>53</v>
      </c>
      <c r="G61" s="1">
        <v>46041</v>
      </c>
      <c r="H61" t="s">
        <v>45</v>
      </c>
      <c r="I61" t="s">
        <v>80</v>
      </c>
      <c r="J61" t="s">
        <v>82</v>
      </c>
      <c r="K61" t="s">
        <v>47</v>
      </c>
      <c r="L61">
        <v>18</v>
      </c>
      <c r="M61">
        <v>5850</v>
      </c>
      <c r="N61">
        <v>4601.32</v>
      </c>
      <c r="O61">
        <v>1248.68</v>
      </c>
      <c r="P61">
        <v>96</v>
      </c>
      <c r="Q61">
        <v>4.3</v>
      </c>
      <c r="R61">
        <v>10</v>
      </c>
      <c r="S61" t="s">
        <v>37</v>
      </c>
      <c r="T61" t="s">
        <v>49</v>
      </c>
      <c r="U61" t="s">
        <v>74</v>
      </c>
      <c r="V61">
        <v>19.07</v>
      </c>
      <c r="W61">
        <v>72.87</v>
      </c>
      <c r="X61">
        <v>11101</v>
      </c>
      <c r="Y61">
        <v>15788</v>
      </c>
      <c r="Z61">
        <v>10428</v>
      </c>
      <c r="AA61">
        <v>15587</v>
      </c>
      <c r="AB61" t="s">
        <v>40</v>
      </c>
      <c r="AN61" s="3">
        <v>90</v>
      </c>
      <c r="AO61">
        <v>12146.75</v>
      </c>
      <c r="AQ61" s="6">
        <v>71</v>
      </c>
      <c r="AR61" s="5">
        <v>10012.5</v>
      </c>
    </row>
    <row r="62" spans="1:44" x14ac:dyDescent="0.3">
      <c r="A62">
        <v>1060</v>
      </c>
      <c r="B62" t="s">
        <v>41</v>
      </c>
      <c r="C62" t="s">
        <v>29</v>
      </c>
      <c r="D62" t="s">
        <v>42</v>
      </c>
      <c r="E62" t="s">
        <v>43</v>
      </c>
      <c r="F62" t="s">
        <v>44</v>
      </c>
      <c r="G62" s="1">
        <v>46109</v>
      </c>
      <c r="H62" t="s">
        <v>71</v>
      </c>
      <c r="I62" t="s">
        <v>69</v>
      </c>
      <c r="J62" t="s">
        <v>72</v>
      </c>
      <c r="K62" t="s">
        <v>36</v>
      </c>
      <c r="L62">
        <v>48</v>
      </c>
      <c r="M62">
        <v>11616</v>
      </c>
      <c r="N62">
        <v>8872.64</v>
      </c>
      <c r="O62">
        <v>2743.36</v>
      </c>
      <c r="P62">
        <v>127</v>
      </c>
      <c r="Q62">
        <v>4.3</v>
      </c>
      <c r="R62">
        <v>5</v>
      </c>
      <c r="S62" t="s">
        <v>64</v>
      </c>
      <c r="T62" t="s">
        <v>49</v>
      </c>
      <c r="U62" t="s">
        <v>55</v>
      </c>
      <c r="V62">
        <v>28.61</v>
      </c>
      <c r="W62">
        <v>77.2</v>
      </c>
      <c r="X62">
        <v>13308</v>
      </c>
      <c r="Y62">
        <v>15602</v>
      </c>
      <c r="Z62">
        <v>12185</v>
      </c>
      <c r="AA62">
        <v>12822</v>
      </c>
      <c r="AB62" t="s">
        <v>40</v>
      </c>
      <c r="AN62" s="3">
        <v>92</v>
      </c>
      <c r="AO62">
        <v>9990</v>
      </c>
      <c r="AQ62" s="6">
        <v>72</v>
      </c>
      <c r="AR62" s="5">
        <v>9751.75</v>
      </c>
    </row>
    <row r="63" spans="1:44" x14ac:dyDescent="0.3">
      <c r="A63">
        <v>1061</v>
      </c>
      <c r="B63" t="s">
        <v>60</v>
      </c>
      <c r="C63" t="s">
        <v>29</v>
      </c>
      <c r="D63" t="s">
        <v>61</v>
      </c>
      <c r="E63" t="s">
        <v>62</v>
      </c>
      <c r="F63" t="s">
        <v>32</v>
      </c>
      <c r="G63" s="1">
        <v>46150</v>
      </c>
      <c r="H63" t="s">
        <v>54</v>
      </c>
      <c r="I63" t="s">
        <v>57</v>
      </c>
      <c r="J63" t="s">
        <v>83</v>
      </c>
      <c r="K63" t="s">
        <v>36</v>
      </c>
      <c r="L63">
        <v>51</v>
      </c>
      <c r="M63">
        <v>12597</v>
      </c>
      <c r="N63">
        <v>9701.3700000000008</v>
      </c>
      <c r="O63">
        <v>2895.63</v>
      </c>
      <c r="P63">
        <v>187</v>
      </c>
      <c r="Q63">
        <v>3.8</v>
      </c>
      <c r="R63">
        <v>0</v>
      </c>
      <c r="S63" t="s">
        <v>37</v>
      </c>
      <c r="T63" t="s">
        <v>38</v>
      </c>
      <c r="U63" t="s">
        <v>74</v>
      </c>
      <c r="V63">
        <v>13.08</v>
      </c>
      <c r="W63">
        <v>80.27</v>
      </c>
      <c r="X63">
        <v>6070</v>
      </c>
      <c r="Y63">
        <v>10372</v>
      </c>
      <c r="Z63">
        <v>5032</v>
      </c>
      <c r="AA63">
        <v>9792</v>
      </c>
      <c r="AB63" t="s">
        <v>40</v>
      </c>
      <c r="AN63" s="3">
        <v>94</v>
      </c>
      <c r="AO63">
        <v>4452</v>
      </c>
      <c r="AQ63" s="6">
        <v>73</v>
      </c>
      <c r="AR63" s="5">
        <v>18156</v>
      </c>
    </row>
    <row r="64" spans="1:44" x14ac:dyDescent="0.3">
      <c r="A64">
        <v>1062</v>
      </c>
      <c r="B64" t="s">
        <v>60</v>
      </c>
      <c r="C64" t="s">
        <v>29</v>
      </c>
      <c r="D64" t="s">
        <v>61</v>
      </c>
      <c r="E64" t="s">
        <v>62</v>
      </c>
      <c r="F64" t="s">
        <v>32</v>
      </c>
      <c r="G64" s="1">
        <v>46174</v>
      </c>
      <c r="H64" t="s">
        <v>68</v>
      </c>
      <c r="I64" t="s">
        <v>80</v>
      </c>
      <c r="J64" t="s">
        <v>81</v>
      </c>
      <c r="K64" t="s">
        <v>78</v>
      </c>
      <c r="L64">
        <v>35</v>
      </c>
      <c r="M64">
        <v>10640</v>
      </c>
      <c r="N64">
        <v>5886.86</v>
      </c>
      <c r="O64">
        <v>4753.1400000000003</v>
      </c>
      <c r="P64">
        <v>222</v>
      </c>
      <c r="Q64">
        <v>3.9</v>
      </c>
      <c r="R64">
        <v>15</v>
      </c>
      <c r="S64" t="s">
        <v>37</v>
      </c>
      <c r="T64" t="s">
        <v>49</v>
      </c>
      <c r="U64" t="s">
        <v>74</v>
      </c>
      <c r="V64">
        <v>13.08</v>
      </c>
      <c r="W64">
        <v>80.27</v>
      </c>
      <c r="X64">
        <v>14163</v>
      </c>
      <c r="Y64">
        <v>18774</v>
      </c>
      <c r="Z64">
        <v>13223</v>
      </c>
      <c r="AA64">
        <v>16182</v>
      </c>
      <c r="AB64" t="s">
        <v>40</v>
      </c>
      <c r="AN64" s="3">
        <v>95</v>
      </c>
      <c r="AO64">
        <v>12294</v>
      </c>
      <c r="AQ64" s="6">
        <v>74</v>
      </c>
      <c r="AR64" s="5">
        <v>17466</v>
      </c>
    </row>
    <row r="65" spans="1:44" x14ac:dyDescent="0.3">
      <c r="A65">
        <v>1063</v>
      </c>
      <c r="B65" t="s">
        <v>65</v>
      </c>
      <c r="C65" t="s">
        <v>29</v>
      </c>
      <c r="D65" t="s">
        <v>66</v>
      </c>
      <c r="E65" t="s">
        <v>67</v>
      </c>
      <c r="F65" t="s">
        <v>32</v>
      </c>
      <c r="G65" s="1">
        <v>46136</v>
      </c>
      <c r="H65" t="s">
        <v>75</v>
      </c>
      <c r="I65" t="s">
        <v>69</v>
      </c>
      <c r="J65" t="s">
        <v>72</v>
      </c>
      <c r="K65" t="s">
        <v>47</v>
      </c>
      <c r="L65">
        <v>36</v>
      </c>
      <c r="M65">
        <v>8604</v>
      </c>
      <c r="N65">
        <v>5223.12</v>
      </c>
      <c r="O65">
        <v>3380.88</v>
      </c>
      <c r="P65">
        <v>200</v>
      </c>
      <c r="Q65">
        <v>5</v>
      </c>
      <c r="R65">
        <v>15</v>
      </c>
      <c r="S65" t="s">
        <v>64</v>
      </c>
      <c r="T65" t="s">
        <v>49</v>
      </c>
      <c r="U65" t="s">
        <v>39</v>
      </c>
      <c r="V65">
        <v>9.93</v>
      </c>
      <c r="W65">
        <v>76.260000000000005</v>
      </c>
      <c r="X65">
        <v>14842</v>
      </c>
      <c r="Y65">
        <v>16041</v>
      </c>
      <c r="Z65">
        <v>13430</v>
      </c>
      <c r="AA65">
        <v>16022</v>
      </c>
      <c r="AB65" t="s">
        <v>56</v>
      </c>
      <c r="AN65" s="3">
        <v>96</v>
      </c>
      <c r="AO65">
        <v>10063.5</v>
      </c>
      <c r="AQ65" s="6">
        <v>75</v>
      </c>
      <c r="AR65" s="5">
        <v>4945</v>
      </c>
    </row>
    <row r="66" spans="1:44" x14ac:dyDescent="0.3">
      <c r="A66">
        <v>1064</v>
      </c>
      <c r="B66" t="s">
        <v>60</v>
      </c>
      <c r="C66" t="s">
        <v>29</v>
      </c>
      <c r="D66" t="s">
        <v>61</v>
      </c>
      <c r="E66" t="s">
        <v>62</v>
      </c>
      <c r="F66" t="s">
        <v>32</v>
      </c>
      <c r="G66" s="1">
        <v>46158</v>
      </c>
      <c r="H66" t="s">
        <v>54</v>
      </c>
      <c r="I66" t="s">
        <v>69</v>
      </c>
      <c r="J66" t="s">
        <v>72</v>
      </c>
      <c r="K66" t="s">
        <v>78</v>
      </c>
      <c r="L66">
        <v>16</v>
      </c>
      <c r="M66">
        <v>3392</v>
      </c>
      <c r="N66">
        <v>2488.23</v>
      </c>
      <c r="O66">
        <v>903.77</v>
      </c>
      <c r="P66">
        <v>188</v>
      </c>
      <c r="Q66">
        <v>4.4000000000000004</v>
      </c>
      <c r="R66">
        <v>15</v>
      </c>
      <c r="S66" t="s">
        <v>64</v>
      </c>
      <c r="T66" t="s">
        <v>38</v>
      </c>
      <c r="U66" t="s">
        <v>74</v>
      </c>
      <c r="V66">
        <v>13.08</v>
      </c>
      <c r="W66">
        <v>80.27</v>
      </c>
      <c r="X66">
        <v>11990</v>
      </c>
      <c r="Y66">
        <v>15320</v>
      </c>
      <c r="Z66">
        <v>10809</v>
      </c>
      <c r="AA66">
        <v>12650</v>
      </c>
      <c r="AB66" t="s">
        <v>40</v>
      </c>
      <c r="AN66" s="3">
        <v>98</v>
      </c>
      <c r="AO66">
        <v>6276</v>
      </c>
      <c r="AQ66" s="6">
        <v>76</v>
      </c>
      <c r="AR66" s="5">
        <v>9030.3333333333339</v>
      </c>
    </row>
    <row r="67" spans="1:44" x14ac:dyDescent="0.3">
      <c r="A67">
        <v>1065</v>
      </c>
      <c r="B67" t="s">
        <v>50</v>
      </c>
      <c r="C67" t="s">
        <v>29</v>
      </c>
      <c r="D67" t="s">
        <v>51</v>
      </c>
      <c r="E67" t="s">
        <v>52</v>
      </c>
      <c r="F67" t="s">
        <v>53</v>
      </c>
      <c r="G67" s="1">
        <v>46147</v>
      </c>
      <c r="H67" t="s">
        <v>54</v>
      </c>
      <c r="I67" t="s">
        <v>69</v>
      </c>
      <c r="J67" t="s">
        <v>70</v>
      </c>
      <c r="K67" t="s">
        <v>47</v>
      </c>
      <c r="L67">
        <v>9</v>
      </c>
      <c r="M67">
        <v>1719</v>
      </c>
      <c r="N67">
        <v>1319.52</v>
      </c>
      <c r="O67">
        <v>399.48</v>
      </c>
      <c r="P67">
        <v>130</v>
      </c>
      <c r="Q67">
        <v>4</v>
      </c>
      <c r="R67">
        <v>5</v>
      </c>
      <c r="S67" t="s">
        <v>48</v>
      </c>
      <c r="T67" t="s">
        <v>76</v>
      </c>
      <c r="U67" t="s">
        <v>74</v>
      </c>
      <c r="V67">
        <v>19.07</v>
      </c>
      <c r="W67">
        <v>72.87</v>
      </c>
      <c r="X67">
        <v>11513</v>
      </c>
      <c r="Y67">
        <v>12833</v>
      </c>
      <c r="Z67">
        <v>10977</v>
      </c>
      <c r="AA67">
        <v>11940</v>
      </c>
      <c r="AB67" t="s">
        <v>40</v>
      </c>
      <c r="AN67" s="3">
        <v>99</v>
      </c>
      <c r="AO67">
        <v>8686</v>
      </c>
      <c r="AQ67" s="6">
        <v>77</v>
      </c>
      <c r="AR67" s="5">
        <v>15186.5</v>
      </c>
    </row>
    <row r="68" spans="1:44" x14ac:dyDescent="0.3">
      <c r="A68">
        <v>1066</v>
      </c>
      <c r="B68" t="s">
        <v>65</v>
      </c>
      <c r="C68" t="s">
        <v>29</v>
      </c>
      <c r="D68" t="s">
        <v>66</v>
      </c>
      <c r="E68" t="s">
        <v>67</v>
      </c>
      <c r="F68" t="s">
        <v>32</v>
      </c>
      <c r="G68" s="1">
        <v>46174</v>
      </c>
      <c r="H68" t="s">
        <v>68</v>
      </c>
      <c r="I68" t="s">
        <v>80</v>
      </c>
      <c r="J68" t="s">
        <v>82</v>
      </c>
      <c r="K68" t="s">
        <v>78</v>
      </c>
      <c r="L68">
        <v>53</v>
      </c>
      <c r="M68">
        <v>18020</v>
      </c>
      <c r="N68">
        <v>13049.01</v>
      </c>
      <c r="O68">
        <v>4970.99</v>
      </c>
      <c r="P68">
        <v>113</v>
      </c>
      <c r="Q68">
        <v>3.9</v>
      </c>
      <c r="R68">
        <v>10</v>
      </c>
      <c r="S68" t="s">
        <v>48</v>
      </c>
      <c r="T68" t="s">
        <v>76</v>
      </c>
      <c r="U68" t="s">
        <v>39</v>
      </c>
      <c r="V68">
        <v>9.93</v>
      </c>
      <c r="W68">
        <v>76.260000000000005</v>
      </c>
      <c r="X68">
        <v>6367</v>
      </c>
      <c r="Y68">
        <v>8295</v>
      </c>
      <c r="Z68">
        <v>4815</v>
      </c>
      <c r="AA68">
        <v>4962</v>
      </c>
      <c r="AB68" t="s">
        <v>63</v>
      </c>
      <c r="AN68" s="3">
        <v>100</v>
      </c>
      <c r="AO68">
        <v>6791.5</v>
      </c>
      <c r="AQ68" s="6">
        <v>78</v>
      </c>
      <c r="AR68" s="5">
        <v>9862</v>
      </c>
    </row>
    <row r="69" spans="1:44" x14ac:dyDescent="0.3">
      <c r="A69">
        <v>1067</v>
      </c>
      <c r="B69" t="s">
        <v>50</v>
      </c>
      <c r="C69" t="s">
        <v>29</v>
      </c>
      <c r="D69" t="s">
        <v>51</v>
      </c>
      <c r="E69" t="s">
        <v>52</v>
      </c>
      <c r="F69" t="s">
        <v>53</v>
      </c>
      <c r="G69" s="1">
        <v>46127</v>
      </c>
      <c r="H69" t="s">
        <v>75</v>
      </c>
      <c r="I69" t="s">
        <v>57</v>
      </c>
      <c r="J69" t="s">
        <v>58</v>
      </c>
      <c r="K69" t="s">
        <v>73</v>
      </c>
      <c r="L69">
        <v>22</v>
      </c>
      <c r="M69">
        <v>4246</v>
      </c>
      <c r="N69">
        <v>2635.16</v>
      </c>
      <c r="O69">
        <v>1610.84</v>
      </c>
      <c r="P69">
        <v>169</v>
      </c>
      <c r="Q69">
        <v>4.4000000000000004</v>
      </c>
      <c r="R69">
        <v>15</v>
      </c>
      <c r="S69" t="s">
        <v>64</v>
      </c>
      <c r="T69" t="s">
        <v>76</v>
      </c>
      <c r="U69" t="s">
        <v>39</v>
      </c>
      <c r="V69">
        <v>19.07</v>
      </c>
      <c r="W69">
        <v>72.87</v>
      </c>
      <c r="X69">
        <v>12686</v>
      </c>
      <c r="Y69">
        <v>16087</v>
      </c>
      <c r="Z69">
        <v>11693</v>
      </c>
      <c r="AA69">
        <v>12118</v>
      </c>
      <c r="AB69" t="s">
        <v>40</v>
      </c>
      <c r="AN69" s="3">
        <v>101</v>
      </c>
      <c r="AO69">
        <v>9303.25</v>
      </c>
      <c r="AQ69" s="6">
        <v>80</v>
      </c>
      <c r="AR69" s="5">
        <v>7531.5</v>
      </c>
    </row>
    <row r="70" spans="1:44" x14ac:dyDescent="0.3">
      <c r="A70">
        <v>1068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s="1">
        <v>46083</v>
      </c>
      <c r="H70" t="s">
        <v>71</v>
      </c>
      <c r="I70" t="s">
        <v>69</v>
      </c>
      <c r="J70" t="s">
        <v>72</v>
      </c>
      <c r="K70" t="s">
        <v>47</v>
      </c>
      <c r="L70">
        <v>7</v>
      </c>
      <c r="M70">
        <v>1701</v>
      </c>
      <c r="N70">
        <v>1219.76</v>
      </c>
      <c r="O70">
        <v>481.24</v>
      </c>
      <c r="P70">
        <v>127</v>
      </c>
      <c r="Q70">
        <v>4.0999999999999996</v>
      </c>
      <c r="R70">
        <v>0</v>
      </c>
      <c r="S70" t="s">
        <v>64</v>
      </c>
      <c r="T70" t="s">
        <v>49</v>
      </c>
      <c r="U70" t="s">
        <v>55</v>
      </c>
      <c r="V70">
        <v>12.97</v>
      </c>
      <c r="W70">
        <v>77.59</v>
      </c>
      <c r="X70">
        <v>9149</v>
      </c>
      <c r="Y70">
        <v>11248</v>
      </c>
      <c r="Z70">
        <v>8023</v>
      </c>
      <c r="AA70">
        <v>10000</v>
      </c>
      <c r="AB70" t="s">
        <v>63</v>
      </c>
      <c r="AN70" s="3">
        <v>102</v>
      </c>
      <c r="AO70">
        <v>6046.5</v>
      </c>
      <c r="AQ70" s="6">
        <v>81</v>
      </c>
      <c r="AR70" s="5">
        <v>4874.666666666667</v>
      </c>
    </row>
    <row r="71" spans="1:44" x14ac:dyDescent="0.3">
      <c r="A71">
        <v>1069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s="1">
        <v>46135</v>
      </c>
      <c r="H71" t="s">
        <v>75</v>
      </c>
      <c r="I71" t="s">
        <v>57</v>
      </c>
      <c r="J71" t="s">
        <v>83</v>
      </c>
      <c r="K71" t="s">
        <v>47</v>
      </c>
      <c r="L71">
        <v>33</v>
      </c>
      <c r="M71">
        <v>11121</v>
      </c>
      <c r="N71">
        <v>7665.92</v>
      </c>
      <c r="O71">
        <v>3455.08</v>
      </c>
      <c r="P71">
        <v>172</v>
      </c>
      <c r="Q71">
        <v>4.2</v>
      </c>
      <c r="R71">
        <v>10</v>
      </c>
      <c r="S71" t="s">
        <v>37</v>
      </c>
      <c r="T71" t="s">
        <v>76</v>
      </c>
      <c r="U71" t="s">
        <v>39</v>
      </c>
      <c r="V71">
        <v>12.97</v>
      </c>
      <c r="W71">
        <v>77.59</v>
      </c>
      <c r="X71">
        <v>8080</v>
      </c>
      <c r="Y71">
        <v>9873</v>
      </c>
      <c r="Z71">
        <v>6147</v>
      </c>
      <c r="AA71">
        <v>9636</v>
      </c>
      <c r="AB71" t="s">
        <v>79</v>
      </c>
      <c r="AN71" s="3">
        <v>103</v>
      </c>
      <c r="AO71">
        <v>9393</v>
      </c>
      <c r="AQ71" s="6">
        <v>82</v>
      </c>
      <c r="AR71" s="5">
        <v>9939.6666666666661</v>
      </c>
    </row>
    <row r="72" spans="1:44" x14ac:dyDescent="0.3">
      <c r="A72">
        <v>1070</v>
      </c>
      <c r="B72" t="s">
        <v>65</v>
      </c>
      <c r="C72" t="s">
        <v>29</v>
      </c>
      <c r="D72" t="s">
        <v>66</v>
      </c>
      <c r="E72" t="s">
        <v>67</v>
      </c>
      <c r="F72" t="s">
        <v>32</v>
      </c>
      <c r="G72" s="1">
        <v>46083</v>
      </c>
      <c r="H72" t="s">
        <v>71</v>
      </c>
      <c r="I72" t="s">
        <v>80</v>
      </c>
      <c r="J72" t="s">
        <v>81</v>
      </c>
      <c r="K72" t="s">
        <v>47</v>
      </c>
      <c r="L72">
        <v>44</v>
      </c>
      <c r="M72">
        <v>14168</v>
      </c>
      <c r="N72">
        <v>8473.15</v>
      </c>
      <c r="O72">
        <v>5694.85</v>
      </c>
      <c r="P72">
        <v>106</v>
      </c>
      <c r="Q72">
        <v>4.5</v>
      </c>
      <c r="R72">
        <v>15</v>
      </c>
      <c r="S72" t="s">
        <v>37</v>
      </c>
      <c r="T72" t="s">
        <v>38</v>
      </c>
      <c r="U72" t="s">
        <v>74</v>
      </c>
      <c r="V72">
        <v>9.93</v>
      </c>
      <c r="W72">
        <v>76.260000000000005</v>
      </c>
      <c r="X72">
        <v>14591</v>
      </c>
      <c r="Y72">
        <v>15716</v>
      </c>
      <c r="Z72">
        <v>13647</v>
      </c>
      <c r="AA72">
        <v>13815</v>
      </c>
      <c r="AB72" t="s">
        <v>63</v>
      </c>
      <c r="AN72" s="3">
        <v>104</v>
      </c>
      <c r="AO72">
        <v>9031.5</v>
      </c>
      <c r="AQ72" s="6">
        <v>83</v>
      </c>
      <c r="AR72" s="5">
        <v>9412</v>
      </c>
    </row>
    <row r="73" spans="1:44" x14ac:dyDescent="0.3">
      <c r="A73">
        <v>1071</v>
      </c>
      <c r="B73" t="s">
        <v>41</v>
      </c>
      <c r="C73" t="s">
        <v>29</v>
      </c>
      <c r="D73" t="s">
        <v>42</v>
      </c>
      <c r="E73" t="s">
        <v>43</v>
      </c>
      <c r="F73" t="s">
        <v>44</v>
      </c>
      <c r="G73" s="1">
        <v>46121</v>
      </c>
      <c r="H73" t="s">
        <v>75</v>
      </c>
      <c r="I73" t="s">
        <v>80</v>
      </c>
      <c r="J73" t="s">
        <v>81</v>
      </c>
      <c r="K73" t="s">
        <v>78</v>
      </c>
      <c r="L73">
        <v>45</v>
      </c>
      <c r="M73">
        <v>18270</v>
      </c>
      <c r="N73">
        <v>13962.62</v>
      </c>
      <c r="O73">
        <v>4307.38</v>
      </c>
      <c r="P73">
        <v>228</v>
      </c>
      <c r="Q73">
        <v>4.2</v>
      </c>
      <c r="R73">
        <v>5</v>
      </c>
      <c r="S73" t="s">
        <v>48</v>
      </c>
      <c r="T73" t="s">
        <v>49</v>
      </c>
      <c r="U73" t="s">
        <v>74</v>
      </c>
      <c r="V73">
        <v>28.61</v>
      </c>
      <c r="W73">
        <v>77.2</v>
      </c>
      <c r="X73">
        <v>13196</v>
      </c>
      <c r="Y73">
        <v>16375</v>
      </c>
      <c r="Z73">
        <v>11658</v>
      </c>
      <c r="AA73">
        <v>13351</v>
      </c>
      <c r="AB73" t="s">
        <v>79</v>
      </c>
      <c r="AN73" s="3">
        <v>105</v>
      </c>
      <c r="AO73">
        <v>12774</v>
      </c>
      <c r="AQ73" s="6">
        <v>85</v>
      </c>
      <c r="AR73" s="5">
        <v>4598</v>
      </c>
    </row>
    <row r="74" spans="1:44" x14ac:dyDescent="0.3">
      <c r="A74">
        <v>1072</v>
      </c>
      <c r="B74" t="s">
        <v>50</v>
      </c>
      <c r="C74" t="s">
        <v>29</v>
      </c>
      <c r="D74" t="s">
        <v>51</v>
      </c>
      <c r="E74" t="s">
        <v>52</v>
      </c>
      <c r="F74" t="s">
        <v>53</v>
      </c>
      <c r="G74" s="1">
        <v>46115</v>
      </c>
      <c r="H74" t="s">
        <v>75</v>
      </c>
      <c r="I74" t="s">
        <v>80</v>
      </c>
      <c r="J74" t="s">
        <v>81</v>
      </c>
      <c r="K74" t="s">
        <v>73</v>
      </c>
      <c r="L74">
        <v>35</v>
      </c>
      <c r="M74">
        <v>9975</v>
      </c>
      <c r="N74">
        <v>7377.47</v>
      </c>
      <c r="O74">
        <v>2597.5300000000002</v>
      </c>
      <c r="P74">
        <v>71</v>
      </c>
      <c r="Q74">
        <v>4.5</v>
      </c>
      <c r="R74">
        <v>10</v>
      </c>
      <c r="S74" t="s">
        <v>48</v>
      </c>
      <c r="T74" t="s">
        <v>38</v>
      </c>
      <c r="U74" t="s">
        <v>39</v>
      </c>
      <c r="V74">
        <v>19.07</v>
      </c>
      <c r="W74">
        <v>72.87</v>
      </c>
      <c r="X74">
        <v>6072</v>
      </c>
      <c r="Y74">
        <v>10942</v>
      </c>
      <c r="Z74">
        <v>5188</v>
      </c>
      <c r="AA74">
        <v>10838</v>
      </c>
      <c r="AB74" t="s">
        <v>40</v>
      </c>
      <c r="AN74" s="3">
        <v>106</v>
      </c>
      <c r="AO74">
        <v>12472.666666666666</v>
      </c>
      <c r="AQ74" s="6">
        <v>86</v>
      </c>
      <c r="AR74" s="5">
        <v>10510.5</v>
      </c>
    </row>
    <row r="75" spans="1:44" x14ac:dyDescent="0.3">
      <c r="A75">
        <v>1073</v>
      </c>
      <c r="B75" t="s">
        <v>50</v>
      </c>
      <c r="C75" t="s">
        <v>29</v>
      </c>
      <c r="D75" t="s">
        <v>51</v>
      </c>
      <c r="E75" t="s">
        <v>52</v>
      </c>
      <c r="F75" t="s">
        <v>53</v>
      </c>
      <c r="G75" s="1">
        <v>46176</v>
      </c>
      <c r="H75" t="s">
        <v>68</v>
      </c>
      <c r="I75" t="s">
        <v>34</v>
      </c>
      <c r="J75" t="s">
        <v>46</v>
      </c>
      <c r="K75" t="s">
        <v>47</v>
      </c>
      <c r="L75">
        <v>43</v>
      </c>
      <c r="M75">
        <v>10664</v>
      </c>
      <c r="N75">
        <v>8443.4699999999993</v>
      </c>
      <c r="O75">
        <v>2220.5300000000002</v>
      </c>
      <c r="P75">
        <v>223</v>
      </c>
      <c r="Q75">
        <v>3.9</v>
      </c>
      <c r="R75">
        <v>5</v>
      </c>
      <c r="S75" t="s">
        <v>37</v>
      </c>
      <c r="T75" t="s">
        <v>76</v>
      </c>
      <c r="U75" t="s">
        <v>55</v>
      </c>
      <c r="V75">
        <v>19.07</v>
      </c>
      <c r="W75">
        <v>72.87</v>
      </c>
      <c r="X75">
        <v>5507</v>
      </c>
      <c r="Y75">
        <v>8508</v>
      </c>
      <c r="Z75">
        <v>4193</v>
      </c>
      <c r="AA75">
        <v>8229</v>
      </c>
      <c r="AB75" t="s">
        <v>56</v>
      </c>
      <c r="AN75" s="3">
        <v>107</v>
      </c>
      <c r="AO75">
        <v>3264</v>
      </c>
      <c r="AQ75" s="6">
        <v>87</v>
      </c>
      <c r="AR75" s="5">
        <v>9620</v>
      </c>
    </row>
    <row r="76" spans="1:44" x14ac:dyDescent="0.3">
      <c r="A76">
        <v>1074</v>
      </c>
      <c r="B76" t="s">
        <v>41</v>
      </c>
      <c r="C76" t="s">
        <v>29</v>
      </c>
      <c r="D76" t="s">
        <v>42</v>
      </c>
      <c r="E76" t="s">
        <v>43</v>
      </c>
      <c r="F76" t="s">
        <v>44</v>
      </c>
      <c r="G76" s="1">
        <v>46087</v>
      </c>
      <c r="H76" t="s">
        <v>71</v>
      </c>
      <c r="I76" t="s">
        <v>80</v>
      </c>
      <c r="J76" t="s">
        <v>81</v>
      </c>
      <c r="K76" t="s">
        <v>59</v>
      </c>
      <c r="L76">
        <v>21</v>
      </c>
      <c r="M76">
        <v>3969</v>
      </c>
      <c r="N76">
        <v>2445.5500000000002</v>
      </c>
      <c r="O76">
        <v>1523.45</v>
      </c>
      <c r="P76">
        <v>113</v>
      </c>
      <c r="Q76">
        <v>4.3</v>
      </c>
      <c r="R76">
        <v>5</v>
      </c>
      <c r="S76" t="s">
        <v>48</v>
      </c>
      <c r="T76" t="s">
        <v>76</v>
      </c>
      <c r="U76" t="s">
        <v>39</v>
      </c>
      <c r="V76">
        <v>28.61</v>
      </c>
      <c r="W76">
        <v>77.2</v>
      </c>
      <c r="X76">
        <v>14907</v>
      </c>
      <c r="Y76">
        <v>17324</v>
      </c>
      <c r="Z76">
        <v>13939</v>
      </c>
      <c r="AA76">
        <v>16202</v>
      </c>
      <c r="AB76" t="s">
        <v>63</v>
      </c>
      <c r="AN76" s="3">
        <v>108</v>
      </c>
      <c r="AO76">
        <v>15950</v>
      </c>
      <c r="AQ76" s="6">
        <v>89</v>
      </c>
      <c r="AR76" s="5">
        <v>6161</v>
      </c>
    </row>
    <row r="77" spans="1:44" x14ac:dyDescent="0.3">
      <c r="A77">
        <v>1075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s="1">
        <v>46160</v>
      </c>
      <c r="H77" t="s">
        <v>54</v>
      </c>
      <c r="I77" t="s">
        <v>69</v>
      </c>
      <c r="J77" t="s">
        <v>72</v>
      </c>
      <c r="K77" t="s">
        <v>78</v>
      </c>
      <c r="L77">
        <v>39</v>
      </c>
      <c r="M77">
        <v>9906</v>
      </c>
      <c r="N77">
        <v>5569.07</v>
      </c>
      <c r="O77">
        <v>4336.93</v>
      </c>
      <c r="P77">
        <v>96</v>
      </c>
      <c r="Q77">
        <v>4.8</v>
      </c>
      <c r="R77">
        <v>0</v>
      </c>
      <c r="S77" t="s">
        <v>37</v>
      </c>
      <c r="T77" t="s">
        <v>76</v>
      </c>
      <c r="U77" t="s">
        <v>55</v>
      </c>
      <c r="V77">
        <v>12.97</v>
      </c>
      <c r="W77">
        <v>77.59</v>
      </c>
      <c r="X77">
        <v>6186</v>
      </c>
      <c r="Y77">
        <v>11171</v>
      </c>
      <c r="Z77">
        <v>5626</v>
      </c>
      <c r="AA77">
        <v>10981</v>
      </c>
      <c r="AB77" t="s">
        <v>40</v>
      </c>
      <c r="AN77" s="3">
        <v>109</v>
      </c>
      <c r="AO77">
        <v>14197</v>
      </c>
      <c r="AQ77" s="6">
        <v>90</v>
      </c>
      <c r="AR77" s="5">
        <v>12146.75</v>
      </c>
    </row>
    <row r="78" spans="1:44" x14ac:dyDescent="0.3">
      <c r="A78">
        <v>1076</v>
      </c>
      <c r="B78" t="s">
        <v>65</v>
      </c>
      <c r="C78" t="s">
        <v>29</v>
      </c>
      <c r="D78" t="s">
        <v>66</v>
      </c>
      <c r="E78" t="s">
        <v>67</v>
      </c>
      <c r="F78" t="s">
        <v>32</v>
      </c>
      <c r="G78" s="1">
        <v>46128</v>
      </c>
      <c r="H78" t="s">
        <v>75</v>
      </c>
      <c r="I78" t="s">
        <v>57</v>
      </c>
      <c r="J78" t="s">
        <v>83</v>
      </c>
      <c r="K78" t="s">
        <v>47</v>
      </c>
      <c r="L78">
        <v>55</v>
      </c>
      <c r="M78">
        <v>21450</v>
      </c>
      <c r="N78">
        <v>16331.74</v>
      </c>
      <c r="O78">
        <v>5118.26</v>
      </c>
      <c r="P78">
        <v>204</v>
      </c>
      <c r="Q78">
        <v>4.5</v>
      </c>
      <c r="R78">
        <v>15</v>
      </c>
      <c r="S78" t="s">
        <v>64</v>
      </c>
      <c r="T78" t="s">
        <v>38</v>
      </c>
      <c r="U78" t="s">
        <v>74</v>
      </c>
      <c r="V78">
        <v>9.93</v>
      </c>
      <c r="W78">
        <v>76.260000000000005</v>
      </c>
      <c r="X78">
        <v>10954</v>
      </c>
      <c r="Y78">
        <v>14859</v>
      </c>
      <c r="Z78">
        <v>9795</v>
      </c>
      <c r="AA78">
        <v>13778</v>
      </c>
      <c r="AB78" t="s">
        <v>79</v>
      </c>
      <c r="AN78" s="3">
        <v>110</v>
      </c>
      <c r="AO78">
        <v>4736</v>
      </c>
      <c r="AQ78" s="6">
        <v>92</v>
      </c>
      <c r="AR78" s="5">
        <v>9990</v>
      </c>
    </row>
    <row r="79" spans="1:44" x14ac:dyDescent="0.3">
      <c r="A79">
        <v>1077</v>
      </c>
      <c r="B79" t="s">
        <v>60</v>
      </c>
      <c r="C79" t="s">
        <v>29</v>
      </c>
      <c r="D79" t="s">
        <v>61</v>
      </c>
      <c r="E79" t="s">
        <v>62</v>
      </c>
      <c r="F79" t="s">
        <v>32</v>
      </c>
      <c r="G79" s="1">
        <v>46142</v>
      </c>
      <c r="H79" t="s">
        <v>75</v>
      </c>
      <c r="I79" t="s">
        <v>34</v>
      </c>
      <c r="J79" t="s">
        <v>35</v>
      </c>
      <c r="K79" t="s">
        <v>36</v>
      </c>
      <c r="L79">
        <v>8</v>
      </c>
      <c r="M79">
        <v>1600</v>
      </c>
      <c r="N79">
        <v>1202.04</v>
      </c>
      <c r="O79">
        <v>397.96</v>
      </c>
      <c r="P79">
        <v>282</v>
      </c>
      <c r="Q79">
        <v>3.8</v>
      </c>
      <c r="R79">
        <v>0</v>
      </c>
      <c r="S79" t="s">
        <v>37</v>
      </c>
      <c r="T79" t="s">
        <v>76</v>
      </c>
      <c r="U79" t="s">
        <v>39</v>
      </c>
      <c r="V79">
        <v>13.08</v>
      </c>
      <c r="W79">
        <v>80.27</v>
      </c>
      <c r="X79">
        <v>14885</v>
      </c>
      <c r="Y79">
        <v>17848</v>
      </c>
      <c r="Z79">
        <v>12933</v>
      </c>
      <c r="AA79">
        <v>17693</v>
      </c>
      <c r="AB79" t="s">
        <v>63</v>
      </c>
      <c r="AN79" s="3">
        <v>112</v>
      </c>
      <c r="AO79">
        <v>10428.666666666666</v>
      </c>
      <c r="AQ79" s="6">
        <v>94</v>
      </c>
      <c r="AR79" s="5">
        <v>4452</v>
      </c>
    </row>
    <row r="80" spans="1:44" x14ac:dyDescent="0.3">
      <c r="A80">
        <v>1078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s="1">
        <v>46065</v>
      </c>
      <c r="H80" t="s">
        <v>33</v>
      </c>
      <c r="I80" t="s">
        <v>34</v>
      </c>
      <c r="J80" t="s">
        <v>46</v>
      </c>
      <c r="K80" t="s">
        <v>59</v>
      </c>
      <c r="L80">
        <v>11</v>
      </c>
      <c r="M80">
        <v>3300</v>
      </c>
      <c r="N80">
        <v>1828.54</v>
      </c>
      <c r="O80">
        <v>1471.46</v>
      </c>
      <c r="P80">
        <v>104</v>
      </c>
      <c r="Q80">
        <v>4.0999999999999996</v>
      </c>
      <c r="R80">
        <v>0</v>
      </c>
      <c r="S80" t="s">
        <v>48</v>
      </c>
      <c r="T80" t="s">
        <v>76</v>
      </c>
      <c r="U80" t="s">
        <v>74</v>
      </c>
      <c r="V80">
        <v>12.97</v>
      </c>
      <c r="W80">
        <v>77.59</v>
      </c>
      <c r="X80">
        <v>14414</v>
      </c>
      <c r="Y80">
        <v>17634</v>
      </c>
      <c r="Z80">
        <v>13076</v>
      </c>
      <c r="AA80">
        <v>16156</v>
      </c>
      <c r="AB80" t="s">
        <v>40</v>
      </c>
      <c r="AN80" s="3">
        <v>113</v>
      </c>
      <c r="AO80">
        <v>9531.4</v>
      </c>
      <c r="AQ80" s="6">
        <v>95</v>
      </c>
      <c r="AR80" s="5">
        <v>12294</v>
      </c>
    </row>
    <row r="81" spans="1:44" x14ac:dyDescent="0.3">
      <c r="A81">
        <v>1079</v>
      </c>
      <c r="B81" t="s">
        <v>60</v>
      </c>
      <c r="C81" t="s">
        <v>29</v>
      </c>
      <c r="D81" t="s">
        <v>61</v>
      </c>
      <c r="E81" t="s">
        <v>62</v>
      </c>
      <c r="F81" t="s">
        <v>32</v>
      </c>
      <c r="G81" s="1">
        <v>46160</v>
      </c>
      <c r="H81" t="s">
        <v>54</v>
      </c>
      <c r="I81" t="s">
        <v>80</v>
      </c>
      <c r="J81" t="s">
        <v>81</v>
      </c>
      <c r="K81" t="s">
        <v>78</v>
      </c>
      <c r="L81">
        <v>60</v>
      </c>
      <c r="M81">
        <v>22980</v>
      </c>
      <c r="N81">
        <v>15306.14</v>
      </c>
      <c r="O81">
        <v>7673.86</v>
      </c>
      <c r="P81">
        <v>283</v>
      </c>
      <c r="Q81">
        <v>4.5999999999999996</v>
      </c>
      <c r="R81">
        <v>5</v>
      </c>
      <c r="S81" t="s">
        <v>48</v>
      </c>
      <c r="T81" t="s">
        <v>76</v>
      </c>
      <c r="U81" t="s">
        <v>74</v>
      </c>
      <c r="V81">
        <v>13.08</v>
      </c>
      <c r="W81">
        <v>80.27</v>
      </c>
      <c r="X81">
        <v>11758</v>
      </c>
      <c r="Y81">
        <v>14382</v>
      </c>
      <c r="Z81">
        <v>10697</v>
      </c>
      <c r="AA81">
        <v>14330</v>
      </c>
      <c r="AB81" t="s">
        <v>40</v>
      </c>
      <c r="AN81" s="3">
        <v>114</v>
      </c>
      <c r="AO81">
        <v>20436</v>
      </c>
      <c r="AQ81" s="6">
        <v>96</v>
      </c>
      <c r="AR81" s="5">
        <v>10063.5</v>
      </c>
    </row>
    <row r="82" spans="1:44" x14ac:dyDescent="0.3">
      <c r="A82">
        <v>1080</v>
      </c>
      <c r="B82" t="s">
        <v>50</v>
      </c>
      <c r="C82" t="s">
        <v>29</v>
      </c>
      <c r="D82" t="s">
        <v>51</v>
      </c>
      <c r="E82" t="s">
        <v>52</v>
      </c>
      <c r="F82" t="s">
        <v>53</v>
      </c>
      <c r="G82" s="1">
        <v>46106</v>
      </c>
      <c r="H82" t="s">
        <v>71</v>
      </c>
      <c r="I82" t="s">
        <v>80</v>
      </c>
      <c r="J82" t="s">
        <v>81</v>
      </c>
      <c r="K82" t="s">
        <v>78</v>
      </c>
      <c r="L82">
        <v>9</v>
      </c>
      <c r="M82">
        <v>2133</v>
      </c>
      <c r="N82">
        <v>1237.5999999999999</v>
      </c>
      <c r="O82">
        <v>895.4</v>
      </c>
      <c r="P82">
        <v>128</v>
      </c>
      <c r="Q82">
        <v>3.6</v>
      </c>
      <c r="R82">
        <v>10</v>
      </c>
      <c r="S82" t="s">
        <v>37</v>
      </c>
      <c r="T82" t="s">
        <v>49</v>
      </c>
      <c r="U82" t="s">
        <v>74</v>
      </c>
      <c r="V82">
        <v>19.07</v>
      </c>
      <c r="W82">
        <v>72.87</v>
      </c>
      <c r="X82">
        <v>6473</v>
      </c>
      <c r="Y82">
        <v>9705</v>
      </c>
      <c r="Z82">
        <v>5123</v>
      </c>
      <c r="AA82">
        <v>8633</v>
      </c>
      <c r="AB82" t="s">
        <v>40</v>
      </c>
      <c r="AN82" s="3">
        <v>115</v>
      </c>
      <c r="AO82">
        <v>14074.5</v>
      </c>
      <c r="AQ82" s="6">
        <v>98</v>
      </c>
      <c r="AR82" s="5">
        <v>6276</v>
      </c>
    </row>
    <row r="83" spans="1:44" x14ac:dyDescent="0.3">
      <c r="A83">
        <v>1081</v>
      </c>
      <c r="B83" t="s">
        <v>65</v>
      </c>
      <c r="C83" t="s">
        <v>29</v>
      </c>
      <c r="D83" t="s">
        <v>66</v>
      </c>
      <c r="E83" t="s">
        <v>67</v>
      </c>
      <c r="F83" t="s">
        <v>32</v>
      </c>
      <c r="G83" s="1">
        <v>46027</v>
      </c>
      <c r="H83" t="s">
        <v>45</v>
      </c>
      <c r="I83" t="s">
        <v>34</v>
      </c>
      <c r="J83" t="s">
        <v>46</v>
      </c>
      <c r="K83" t="s">
        <v>78</v>
      </c>
      <c r="L83">
        <v>27</v>
      </c>
      <c r="M83">
        <v>6534</v>
      </c>
      <c r="N83">
        <v>4304.42</v>
      </c>
      <c r="O83">
        <v>2229.58</v>
      </c>
      <c r="P83">
        <v>157</v>
      </c>
      <c r="Q83">
        <v>3.8</v>
      </c>
      <c r="R83">
        <v>15</v>
      </c>
      <c r="S83" t="s">
        <v>37</v>
      </c>
      <c r="T83" t="s">
        <v>38</v>
      </c>
      <c r="U83" t="s">
        <v>55</v>
      </c>
      <c r="V83">
        <v>9.93</v>
      </c>
      <c r="W83">
        <v>76.260000000000005</v>
      </c>
      <c r="X83">
        <v>13931</v>
      </c>
      <c r="Y83">
        <v>16326</v>
      </c>
      <c r="Z83">
        <v>11972</v>
      </c>
      <c r="AA83">
        <v>13478</v>
      </c>
      <c r="AB83" t="s">
        <v>40</v>
      </c>
      <c r="AN83" s="3">
        <v>117</v>
      </c>
      <c r="AO83">
        <v>13540</v>
      </c>
      <c r="AQ83" s="6">
        <v>99</v>
      </c>
      <c r="AR83" s="5">
        <v>8686</v>
      </c>
    </row>
    <row r="84" spans="1:44" x14ac:dyDescent="0.3">
      <c r="A84">
        <v>1082</v>
      </c>
      <c r="B84" t="s">
        <v>60</v>
      </c>
      <c r="C84" t="s">
        <v>29</v>
      </c>
      <c r="D84" t="s">
        <v>61</v>
      </c>
      <c r="E84" t="s">
        <v>62</v>
      </c>
      <c r="F84" t="s">
        <v>32</v>
      </c>
      <c r="G84" s="1">
        <v>46109</v>
      </c>
      <c r="H84" t="s">
        <v>71</v>
      </c>
      <c r="I84" t="s">
        <v>57</v>
      </c>
      <c r="J84" t="s">
        <v>58</v>
      </c>
      <c r="K84" t="s">
        <v>47</v>
      </c>
      <c r="L84">
        <v>57</v>
      </c>
      <c r="M84">
        <v>10602</v>
      </c>
      <c r="N84">
        <v>6960.99</v>
      </c>
      <c r="O84">
        <v>3641.01</v>
      </c>
      <c r="P84">
        <v>300</v>
      </c>
      <c r="Q84">
        <v>3.5</v>
      </c>
      <c r="R84">
        <v>5</v>
      </c>
      <c r="S84" t="s">
        <v>48</v>
      </c>
      <c r="T84" t="s">
        <v>49</v>
      </c>
      <c r="U84" t="s">
        <v>74</v>
      </c>
      <c r="V84">
        <v>13.08</v>
      </c>
      <c r="W84">
        <v>80.27</v>
      </c>
      <c r="X84">
        <v>10168</v>
      </c>
      <c r="Y84">
        <v>14589</v>
      </c>
      <c r="Z84">
        <v>8893</v>
      </c>
      <c r="AA84">
        <v>14058</v>
      </c>
      <c r="AB84" t="s">
        <v>56</v>
      </c>
      <c r="AN84" s="3">
        <v>118</v>
      </c>
      <c r="AO84">
        <v>15022</v>
      </c>
      <c r="AQ84" s="6">
        <v>100</v>
      </c>
      <c r="AR84" s="5">
        <v>6791.5</v>
      </c>
    </row>
    <row r="85" spans="1:44" x14ac:dyDescent="0.3">
      <c r="A85">
        <v>1083</v>
      </c>
      <c r="B85" t="s">
        <v>50</v>
      </c>
      <c r="C85" t="s">
        <v>29</v>
      </c>
      <c r="D85" t="s">
        <v>51</v>
      </c>
      <c r="E85" t="s">
        <v>52</v>
      </c>
      <c r="F85" t="s">
        <v>53</v>
      </c>
      <c r="G85" s="1">
        <v>46190</v>
      </c>
      <c r="H85" t="s">
        <v>68</v>
      </c>
      <c r="I85" t="s">
        <v>69</v>
      </c>
      <c r="J85" t="s">
        <v>72</v>
      </c>
      <c r="K85" t="s">
        <v>36</v>
      </c>
      <c r="L85">
        <v>35</v>
      </c>
      <c r="M85">
        <v>8155</v>
      </c>
      <c r="N85">
        <v>5725.01</v>
      </c>
      <c r="O85">
        <v>2429.9899999999998</v>
      </c>
      <c r="P85">
        <v>149</v>
      </c>
      <c r="Q85">
        <v>4.7</v>
      </c>
      <c r="R85">
        <v>15</v>
      </c>
      <c r="S85" t="s">
        <v>48</v>
      </c>
      <c r="T85" t="s">
        <v>49</v>
      </c>
      <c r="U85" t="s">
        <v>39</v>
      </c>
      <c r="V85">
        <v>19.07</v>
      </c>
      <c r="W85">
        <v>72.87</v>
      </c>
      <c r="X85">
        <v>6147</v>
      </c>
      <c r="Y85">
        <v>7750</v>
      </c>
      <c r="Z85">
        <v>5593</v>
      </c>
      <c r="AA85">
        <v>6449</v>
      </c>
      <c r="AB85" t="s">
        <v>79</v>
      </c>
      <c r="AN85" s="3">
        <v>119</v>
      </c>
      <c r="AO85">
        <v>6572</v>
      </c>
      <c r="AQ85" s="6">
        <v>101</v>
      </c>
      <c r="AR85" s="5">
        <v>9303.25</v>
      </c>
    </row>
    <row r="86" spans="1:44" x14ac:dyDescent="0.3">
      <c r="A86">
        <v>1084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s="1">
        <v>46094</v>
      </c>
      <c r="H86" t="s">
        <v>71</v>
      </c>
      <c r="I86" t="s">
        <v>57</v>
      </c>
      <c r="J86" t="s">
        <v>58</v>
      </c>
      <c r="K86" t="s">
        <v>73</v>
      </c>
      <c r="L86">
        <v>37</v>
      </c>
      <c r="M86">
        <v>7585</v>
      </c>
      <c r="N86">
        <v>4956.92</v>
      </c>
      <c r="O86">
        <v>2628.08</v>
      </c>
      <c r="P86">
        <v>183</v>
      </c>
      <c r="Q86">
        <v>5</v>
      </c>
      <c r="R86">
        <v>10</v>
      </c>
      <c r="S86" t="s">
        <v>64</v>
      </c>
      <c r="T86" t="s">
        <v>38</v>
      </c>
      <c r="U86" t="s">
        <v>55</v>
      </c>
      <c r="V86">
        <v>12.97</v>
      </c>
      <c r="W86">
        <v>77.59</v>
      </c>
      <c r="X86">
        <v>13662</v>
      </c>
      <c r="Y86">
        <v>14692</v>
      </c>
      <c r="Z86">
        <v>12571</v>
      </c>
      <c r="AA86">
        <v>13355</v>
      </c>
      <c r="AB86" t="s">
        <v>63</v>
      </c>
      <c r="AN86" s="3">
        <v>120</v>
      </c>
      <c r="AO86">
        <v>11741</v>
      </c>
      <c r="AQ86" s="6">
        <v>102</v>
      </c>
      <c r="AR86" s="5">
        <v>6046.5</v>
      </c>
    </row>
    <row r="87" spans="1:44" x14ac:dyDescent="0.3">
      <c r="A87">
        <v>1085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s="1">
        <v>46071</v>
      </c>
      <c r="H87" t="s">
        <v>33</v>
      </c>
      <c r="I87" t="s">
        <v>80</v>
      </c>
      <c r="J87" t="s">
        <v>82</v>
      </c>
      <c r="K87" t="s">
        <v>73</v>
      </c>
      <c r="L87">
        <v>19</v>
      </c>
      <c r="M87">
        <v>7467</v>
      </c>
      <c r="N87">
        <v>4122.3999999999996</v>
      </c>
      <c r="O87">
        <v>3344.6</v>
      </c>
      <c r="P87">
        <v>158</v>
      </c>
      <c r="Q87">
        <v>4</v>
      </c>
      <c r="R87">
        <v>15</v>
      </c>
      <c r="S87" t="s">
        <v>37</v>
      </c>
      <c r="T87" t="s">
        <v>49</v>
      </c>
      <c r="U87" t="s">
        <v>55</v>
      </c>
      <c r="V87">
        <v>12.97</v>
      </c>
      <c r="W87">
        <v>77.59</v>
      </c>
      <c r="X87">
        <v>10635</v>
      </c>
      <c r="Y87">
        <v>13854</v>
      </c>
      <c r="Z87">
        <v>8961</v>
      </c>
      <c r="AA87">
        <v>10847</v>
      </c>
      <c r="AB87" t="s">
        <v>79</v>
      </c>
      <c r="AN87" s="3">
        <v>121</v>
      </c>
      <c r="AO87">
        <v>11000</v>
      </c>
      <c r="AQ87" s="6">
        <v>103</v>
      </c>
      <c r="AR87" s="5">
        <v>9393</v>
      </c>
    </row>
    <row r="88" spans="1:44" x14ac:dyDescent="0.3">
      <c r="A88">
        <v>1086</v>
      </c>
      <c r="B88" t="s">
        <v>50</v>
      </c>
      <c r="C88" t="s">
        <v>29</v>
      </c>
      <c r="D88" t="s">
        <v>51</v>
      </c>
      <c r="E88" t="s">
        <v>52</v>
      </c>
      <c r="F88" t="s">
        <v>53</v>
      </c>
      <c r="G88" s="1">
        <v>46200</v>
      </c>
      <c r="H88" t="s">
        <v>68</v>
      </c>
      <c r="I88" t="s">
        <v>34</v>
      </c>
      <c r="J88" t="s">
        <v>46</v>
      </c>
      <c r="K88" t="s">
        <v>47</v>
      </c>
      <c r="L88">
        <v>54</v>
      </c>
      <c r="M88">
        <v>17496</v>
      </c>
      <c r="N88">
        <v>10993.01</v>
      </c>
      <c r="O88">
        <v>6502.99</v>
      </c>
      <c r="P88">
        <v>274</v>
      </c>
      <c r="Q88">
        <v>3.9</v>
      </c>
      <c r="R88">
        <v>15</v>
      </c>
      <c r="S88" t="s">
        <v>37</v>
      </c>
      <c r="T88" t="s">
        <v>76</v>
      </c>
      <c r="U88" t="s">
        <v>39</v>
      </c>
      <c r="V88">
        <v>19.07</v>
      </c>
      <c r="W88">
        <v>72.87</v>
      </c>
      <c r="X88">
        <v>8256</v>
      </c>
      <c r="Y88">
        <v>9617</v>
      </c>
      <c r="Z88">
        <v>7469</v>
      </c>
      <c r="AA88">
        <v>7782</v>
      </c>
      <c r="AB88" t="s">
        <v>56</v>
      </c>
      <c r="AN88" s="3">
        <v>122</v>
      </c>
      <c r="AO88">
        <v>2796.5</v>
      </c>
      <c r="AQ88" s="6">
        <v>104</v>
      </c>
      <c r="AR88" s="5">
        <v>9031.5</v>
      </c>
    </row>
    <row r="89" spans="1:44" x14ac:dyDescent="0.3">
      <c r="A89">
        <v>1087</v>
      </c>
      <c r="B89" t="s">
        <v>65</v>
      </c>
      <c r="C89" t="s">
        <v>29</v>
      </c>
      <c r="D89" t="s">
        <v>66</v>
      </c>
      <c r="E89" t="s">
        <v>67</v>
      </c>
      <c r="F89" t="s">
        <v>32</v>
      </c>
      <c r="G89" s="1">
        <v>46182</v>
      </c>
      <c r="H89" t="s">
        <v>68</v>
      </c>
      <c r="I89" t="s">
        <v>80</v>
      </c>
      <c r="J89" t="s">
        <v>82</v>
      </c>
      <c r="K89" t="s">
        <v>36</v>
      </c>
      <c r="L89">
        <v>29</v>
      </c>
      <c r="M89">
        <v>10933</v>
      </c>
      <c r="N89">
        <v>7772.12</v>
      </c>
      <c r="O89">
        <v>3160.88</v>
      </c>
      <c r="P89">
        <v>102</v>
      </c>
      <c r="Q89">
        <v>4.8</v>
      </c>
      <c r="R89">
        <v>10</v>
      </c>
      <c r="S89" t="s">
        <v>48</v>
      </c>
      <c r="T89" t="s">
        <v>49</v>
      </c>
      <c r="U89" t="s">
        <v>74</v>
      </c>
      <c r="V89">
        <v>9.93</v>
      </c>
      <c r="W89">
        <v>76.260000000000005</v>
      </c>
      <c r="X89">
        <v>14148</v>
      </c>
      <c r="Y89">
        <v>16630</v>
      </c>
      <c r="Z89">
        <v>12269</v>
      </c>
      <c r="AA89">
        <v>14377</v>
      </c>
      <c r="AB89" t="s">
        <v>40</v>
      </c>
      <c r="AN89" s="3">
        <v>123</v>
      </c>
      <c r="AO89">
        <v>10650</v>
      </c>
      <c r="AQ89" s="6">
        <v>105</v>
      </c>
      <c r="AR89" s="5">
        <v>12774</v>
      </c>
    </row>
    <row r="90" spans="1:44" x14ac:dyDescent="0.3">
      <c r="A90">
        <v>1088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s="1">
        <v>46073</v>
      </c>
      <c r="H90" t="s">
        <v>33</v>
      </c>
      <c r="I90" t="s">
        <v>57</v>
      </c>
      <c r="J90" t="s">
        <v>83</v>
      </c>
      <c r="K90" t="s">
        <v>73</v>
      </c>
      <c r="L90">
        <v>21</v>
      </c>
      <c r="M90">
        <v>4452</v>
      </c>
      <c r="N90">
        <v>3232.31</v>
      </c>
      <c r="O90">
        <v>1219.69</v>
      </c>
      <c r="P90">
        <v>94</v>
      </c>
      <c r="Q90">
        <v>4.2</v>
      </c>
      <c r="R90">
        <v>0</v>
      </c>
      <c r="S90" t="s">
        <v>37</v>
      </c>
      <c r="T90" t="s">
        <v>38</v>
      </c>
      <c r="U90" t="s">
        <v>55</v>
      </c>
      <c r="V90">
        <v>12.97</v>
      </c>
      <c r="W90">
        <v>77.59</v>
      </c>
      <c r="X90">
        <v>11635</v>
      </c>
      <c r="Y90">
        <v>13137</v>
      </c>
      <c r="Z90">
        <v>9949</v>
      </c>
      <c r="AA90">
        <v>11979</v>
      </c>
      <c r="AB90" t="s">
        <v>56</v>
      </c>
      <c r="AN90" s="3">
        <v>124</v>
      </c>
      <c r="AO90">
        <v>9882</v>
      </c>
      <c r="AQ90" s="6">
        <v>106</v>
      </c>
      <c r="AR90" s="5">
        <v>12472.666666666666</v>
      </c>
    </row>
    <row r="91" spans="1:44" x14ac:dyDescent="0.3">
      <c r="A91">
        <v>1089</v>
      </c>
      <c r="B91" t="s">
        <v>50</v>
      </c>
      <c r="C91" t="s">
        <v>29</v>
      </c>
      <c r="D91" t="s">
        <v>51</v>
      </c>
      <c r="E91" t="s">
        <v>52</v>
      </c>
      <c r="F91" t="s">
        <v>53</v>
      </c>
      <c r="G91" s="1">
        <v>46054</v>
      </c>
      <c r="H91" t="s">
        <v>33</v>
      </c>
      <c r="I91" t="s">
        <v>34</v>
      </c>
      <c r="J91" t="s">
        <v>46</v>
      </c>
      <c r="K91" t="s">
        <v>78</v>
      </c>
      <c r="L91">
        <v>23</v>
      </c>
      <c r="M91">
        <v>9338</v>
      </c>
      <c r="N91">
        <v>5201.3999999999996</v>
      </c>
      <c r="O91">
        <v>4136.6000000000004</v>
      </c>
      <c r="P91">
        <v>72</v>
      </c>
      <c r="Q91">
        <v>4</v>
      </c>
      <c r="R91">
        <v>5</v>
      </c>
      <c r="S91" t="s">
        <v>37</v>
      </c>
      <c r="T91" t="s">
        <v>49</v>
      </c>
      <c r="U91" t="s">
        <v>74</v>
      </c>
      <c r="V91">
        <v>19.07</v>
      </c>
      <c r="W91">
        <v>72.87</v>
      </c>
      <c r="X91">
        <v>14087</v>
      </c>
      <c r="Y91">
        <v>17911</v>
      </c>
      <c r="Z91">
        <v>12546</v>
      </c>
      <c r="AA91">
        <v>13464</v>
      </c>
      <c r="AB91" t="s">
        <v>63</v>
      </c>
      <c r="AN91" s="3">
        <v>125</v>
      </c>
      <c r="AO91">
        <v>1935</v>
      </c>
      <c r="AQ91" s="6">
        <v>107</v>
      </c>
      <c r="AR91" s="5">
        <v>3264</v>
      </c>
    </row>
    <row r="92" spans="1:44" x14ac:dyDescent="0.3">
      <c r="A92">
        <v>1090</v>
      </c>
      <c r="B92" t="s">
        <v>50</v>
      </c>
      <c r="C92" t="s">
        <v>29</v>
      </c>
      <c r="D92" t="s">
        <v>51</v>
      </c>
      <c r="E92" t="s">
        <v>52</v>
      </c>
      <c r="F92" t="s">
        <v>53</v>
      </c>
      <c r="G92" s="1">
        <v>46191</v>
      </c>
      <c r="H92" t="s">
        <v>68</v>
      </c>
      <c r="I92" t="s">
        <v>80</v>
      </c>
      <c r="J92" t="s">
        <v>81</v>
      </c>
      <c r="K92" t="s">
        <v>36</v>
      </c>
      <c r="L92">
        <v>34</v>
      </c>
      <c r="M92">
        <v>8976</v>
      </c>
      <c r="N92">
        <v>6801.12</v>
      </c>
      <c r="O92">
        <v>2174.88</v>
      </c>
      <c r="P92">
        <v>284</v>
      </c>
      <c r="Q92">
        <v>4.4000000000000004</v>
      </c>
      <c r="R92">
        <v>5</v>
      </c>
      <c r="S92" t="s">
        <v>64</v>
      </c>
      <c r="T92" t="s">
        <v>38</v>
      </c>
      <c r="U92" t="s">
        <v>55</v>
      </c>
      <c r="V92">
        <v>19.07</v>
      </c>
      <c r="W92">
        <v>72.87</v>
      </c>
      <c r="X92">
        <v>9633</v>
      </c>
      <c r="Y92">
        <v>11913</v>
      </c>
      <c r="Z92">
        <v>8824</v>
      </c>
      <c r="AA92">
        <v>10249</v>
      </c>
      <c r="AB92" t="s">
        <v>79</v>
      </c>
      <c r="AN92" s="3">
        <v>126</v>
      </c>
      <c r="AO92">
        <v>5487.666666666667</v>
      </c>
      <c r="AQ92" s="6">
        <v>108</v>
      </c>
      <c r="AR92" s="5">
        <v>15950</v>
      </c>
    </row>
    <row r="93" spans="1:44" x14ac:dyDescent="0.3">
      <c r="A93">
        <v>1091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s="1">
        <v>46193</v>
      </c>
      <c r="H93" t="s">
        <v>68</v>
      </c>
      <c r="I93" t="s">
        <v>80</v>
      </c>
      <c r="J93" t="s">
        <v>82</v>
      </c>
      <c r="K93" t="s">
        <v>78</v>
      </c>
      <c r="L93">
        <v>41</v>
      </c>
      <c r="M93">
        <v>14145</v>
      </c>
      <c r="N93">
        <v>8882.67</v>
      </c>
      <c r="O93">
        <v>5262.33</v>
      </c>
      <c r="P93">
        <v>101</v>
      </c>
      <c r="Q93">
        <v>4</v>
      </c>
      <c r="R93">
        <v>15</v>
      </c>
      <c r="S93" t="s">
        <v>48</v>
      </c>
      <c r="T93" t="s">
        <v>76</v>
      </c>
      <c r="U93" t="s">
        <v>39</v>
      </c>
      <c r="V93">
        <v>12.97</v>
      </c>
      <c r="W93">
        <v>77.59</v>
      </c>
      <c r="X93">
        <v>11802</v>
      </c>
      <c r="Y93">
        <v>13956</v>
      </c>
      <c r="Z93">
        <v>11044</v>
      </c>
      <c r="AA93">
        <v>12050</v>
      </c>
      <c r="AB93" t="s">
        <v>63</v>
      </c>
      <c r="AN93" s="3">
        <v>127</v>
      </c>
      <c r="AO93">
        <v>9519</v>
      </c>
      <c r="AQ93" s="6">
        <v>109</v>
      </c>
      <c r="AR93" s="5">
        <v>14197</v>
      </c>
    </row>
    <row r="94" spans="1:44" x14ac:dyDescent="0.3">
      <c r="A94">
        <v>1092</v>
      </c>
      <c r="B94" t="s">
        <v>65</v>
      </c>
      <c r="C94" t="s">
        <v>29</v>
      </c>
      <c r="D94" t="s">
        <v>66</v>
      </c>
      <c r="E94" t="s">
        <v>67</v>
      </c>
      <c r="F94" t="s">
        <v>32</v>
      </c>
      <c r="G94" s="1">
        <v>46145</v>
      </c>
      <c r="H94" t="s">
        <v>54</v>
      </c>
      <c r="I94" t="s">
        <v>69</v>
      </c>
      <c r="J94" t="s">
        <v>72</v>
      </c>
      <c r="K94" t="s">
        <v>47</v>
      </c>
      <c r="L94">
        <v>60</v>
      </c>
      <c r="M94">
        <v>18780</v>
      </c>
      <c r="N94">
        <v>11244.87</v>
      </c>
      <c r="O94">
        <v>7535.13</v>
      </c>
      <c r="P94">
        <v>289</v>
      </c>
      <c r="Q94">
        <v>4.2</v>
      </c>
      <c r="R94">
        <v>0</v>
      </c>
      <c r="S94" t="s">
        <v>64</v>
      </c>
      <c r="T94" t="s">
        <v>76</v>
      </c>
      <c r="U94" t="s">
        <v>74</v>
      </c>
      <c r="V94">
        <v>9.93</v>
      </c>
      <c r="W94">
        <v>76.260000000000005</v>
      </c>
      <c r="X94">
        <v>12859</v>
      </c>
      <c r="Y94">
        <v>16609</v>
      </c>
      <c r="Z94">
        <v>11110</v>
      </c>
      <c r="AA94">
        <v>15968</v>
      </c>
      <c r="AB94" t="s">
        <v>56</v>
      </c>
      <c r="AN94" s="3">
        <v>128</v>
      </c>
      <c r="AO94">
        <v>8061</v>
      </c>
      <c r="AQ94" s="6">
        <v>110</v>
      </c>
      <c r="AR94" s="5">
        <v>4736</v>
      </c>
    </row>
    <row r="95" spans="1:44" x14ac:dyDescent="0.3">
      <c r="A95">
        <v>1093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s="1">
        <v>46044</v>
      </c>
      <c r="H95" t="s">
        <v>45</v>
      </c>
      <c r="I95" t="s">
        <v>80</v>
      </c>
      <c r="J95" t="s">
        <v>82</v>
      </c>
      <c r="K95" t="s">
        <v>36</v>
      </c>
      <c r="L95">
        <v>7</v>
      </c>
      <c r="M95">
        <v>1386</v>
      </c>
      <c r="N95">
        <v>1036.7</v>
      </c>
      <c r="O95">
        <v>349.3</v>
      </c>
      <c r="P95">
        <v>263</v>
      </c>
      <c r="Q95">
        <v>4.9000000000000004</v>
      </c>
      <c r="R95">
        <v>15</v>
      </c>
      <c r="S95" t="s">
        <v>64</v>
      </c>
      <c r="T95" t="s">
        <v>76</v>
      </c>
      <c r="U95" t="s">
        <v>55</v>
      </c>
      <c r="V95">
        <v>12.97</v>
      </c>
      <c r="W95">
        <v>77.59</v>
      </c>
      <c r="X95">
        <v>12505</v>
      </c>
      <c r="Y95">
        <v>17476</v>
      </c>
      <c r="Z95">
        <v>10581</v>
      </c>
      <c r="AA95">
        <v>10842</v>
      </c>
      <c r="AB95" t="s">
        <v>40</v>
      </c>
      <c r="AN95" s="3">
        <v>129</v>
      </c>
      <c r="AO95">
        <v>6582</v>
      </c>
      <c r="AQ95" s="6">
        <v>112</v>
      </c>
      <c r="AR95" s="5">
        <v>10428.666666666666</v>
      </c>
    </row>
    <row r="96" spans="1:44" x14ac:dyDescent="0.3">
      <c r="A96">
        <v>1094</v>
      </c>
      <c r="B96" t="s">
        <v>50</v>
      </c>
      <c r="C96" t="s">
        <v>29</v>
      </c>
      <c r="D96" t="s">
        <v>51</v>
      </c>
      <c r="E96" t="s">
        <v>52</v>
      </c>
      <c r="F96" t="s">
        <v>53</v>
      </c>
      <c r="G96" s="1">
        <v>46174</v>
      </c>
      <c r="H96" t="s">
        <v>68</v>
      </c>
      <c r="I96" t="s">
        <v>80</v>
      </c>
      <c r="J96" t="s">
        <v>81</v>
      </c>
      <c r="K96" t="s">
        <v>59</v>
      </c>
      <c r="L96">
        <v>27</v>
      </c>
      <c r="M96">
        <v>9639</v>
      </c>
      <c r="N96">
        <v>6288.52</v>
      </c>
      <c r="O96">
        <v>3350.48</v>
      </c>
      <c r="P96">
        <v>153</v>
      </c>
      <c r="Q96">
        <v>4.2</v>
      </c>
      <c r="R96">
        <v>10</v>
      </c>
      <c r="S96" t="s">
        <v>64</v>
      </c>
      <c r="T96" t="s">
        <v>76</v>
      </c>
      <c r="U96" t="s">
        <v>74</v>
      </c>
      <c r="V96">
        <v>19.07</v>
      </c>
      <c r="W96">
        <v>72.87</v>
      </c>
      <c r="X96">
        <v>6021</v>
      </c>
      <c r="Y96">
        <v>9462</v>
      </c>
      <c r="Z96">
        <v>5473</v>
      </c>
      <c r="AA96">
        <v>8087</v>
      </c>
      <c r="AB96" t="s">
        <v>63</v>
      </c>
      <c r="AN96" s="3">
        <v>130</v>
      </c>
      <c r="AO96">
        <v>5205.333333333333</v>
      </c>
      <c r="AQ96" s="6">
        <v>113</v>
      </c>
      <c r="AR96" s="5">
        <v>9531.4</v>
      </c>
    </row>
    <row r="97" spans="1:44" x14ac:dyDescent="0.3">
      <c r="A97">
        <v>1095</v>
      </c>
      <c r="B97" t="s">
        <v>65</v>
      </c>
      <c r="C97" t="s">
        <v>29</v>
      </c>
      <c r="D97" t="s">
        <v>66</v>
      </c>
      <c r="E97" t="s">
        <v>67</v>
      </c>
      <c r="F97" t="s">
        <v>32</v>
      </c>
      <c r="G97" s="1">
        <v>46082</v>
      </c>
      <c r="H97" t="s">
        <v>71</v>
      </c>
      <c r="I97" t="s">
        <v>57</v>
      </c>
      <c r="J97" t="s">
        <v>58</v>
      </c>
      <c r="K97" t="s">
        <v>73</v>
      </c>
      <c r="L97">
        <v>31</v>
      </c>
      <c r="M97">
        <v>12741</v>
      </c>
      <c r="N97">
        <v>10184.549999999999</v>
      </c>
      <c r="O97">
        <v>2556.4499999999998</v>
      </c>
      <c r="P97">
        <v>77</v>
      </c>
      <c r="Q97">
        <v>4.9000000000000004</v>
      </c>
      <c r="R97">
        <v>0</v>
      </c>
      <c r="S97" t="s">
        <v>64</v>
      </c>
      <c r="T97" t="s">
        <v>38</v>
      </c>
      <c r="U97" t="s">
        <v>74</v>
      </c>
      <c r="V97">
        <v>9.93</v>
      </c>
      <c r="W97">
        <v>76.260000000000005</v>
      </c>
      <c r="X97">
        <v>6888</v>
      </c>
      <c r="Y97">
        <v>11612</v>
      </c>
      <c r="Z97">
        <v>4927</v>
      </c>
      <c r="AA97">
        <v>6025</v>
      </c>
      <c r="AB97" t="s">
        <v>79</v>
      </c>
      <c r="AN97" s="3">
        <v>131</v>
      </c>
      <c r="AO97">
        <v>11301.333333333334</v>
      </c>
      <c r="AQ97" s="6">
        <v>114</v>
      </c>
      <c r="AR97" s="5">
        <v>20436</v>
      </c>
    </row>
    <row r="98" spans="1:44" x14ac:dyDescent="0.3">
      <c r="A98">
        <v>1096</v>
      </c>
      <c r="B98" t="s">
        <v>41</v>
      </c>
      <c r="C98" t="s">
        <v>29</v>
      </c>
      <c r="D98" t="s">
        <v>42</v>
      </c>
      <c r="E98" t="s">
        <v>43</v>
      </c>
      <c r="F98" t="s">
        <v>44</v>
      </c>
      <c r="G98" s="1">
        <v>46132</v>
      </c>
      <c r="H98" t="s">
        <v>75</v>
      </c>
      <c r="I98" t="s">
        <v>57</v>
      </c>
      <c r="J98" t="s">
        <v>83</v>
      </c>
      <c r="K98" t="s">
        <v>59</v>
      </c>
      <c r="L98">
        <v>52</v>
      </c>
      <c r="M98">
        <v>17888</v>
      </c>
      <c r="N98">
        <v>11008.29</v>
      </c>
      <c r="O98">
        <v>6879.71</v>
      </c>
      <c r="P98">
        <v>281</v>
      </c>
      <c r="Q98">
        <v>3.5</v>
      </c>
      <c r="R98">
        <v>5</v>
      </c>
      <c r="S98" t="s">
        <v>48</v>
      </c>
      <c r="T98" t="s">
        <v>49</v>
      </c>
      <c r="U98" t="s">
        <v>39</v>
      </c>
      <c r="V98">
        <v>28.61</v>
      </c>
      <c r="W98">
        <v>77.2</v>
      </c>
      <c r="X98">
        <v>13028</v>
      </c>
      <c r="Y98">
        <v>16230</v>
      </c>
      <c r="Z98">
        <v>11684</v>
      </c>
      <c r="AA98">
        <v>12988</v>
      </c>
      <c r="AB98" t="s">
        <v>79</v>
      </c>
      <c r="AN98" s="3">
        <v>132</v>
      </c>
      <c r="AO98">
        <v>11023.5</v>
      </c>
      <c r="AQ98" s="6">
        <v>115</v>
      </c>
      <c r="AR98" s="5">
        <v>14074.5</v>
      </c>
    </row>
    <row r="99" spans="1:44" x14ac:dyDescent="0.3">
      <c r="A99">
        <v>1097</v>
      </c>
      <c r="B99" t="s">
        <v>65</v>
      </c>
      <c r="C99" t="s">
        <v>29</v>
      </c>
      <c r="D99" t="s">
        <v>66</v>
      </c>
      <c r="E99" t="s">
        <v>67</v>
      </c>
      <c r="F99" t="s">
        <v>32</v>
      </c>
      <c r="G99" s="1">
        <v>46123</v>
      </c>
      <c r="H99" t="s">
        <v>75</v>
      </c>
      <c r="I99" t="s">
        <v>69</v>
      </c>
      <c r="J99" t="s">
        <v>72</v>
      </c>
      <c r="K99" t="s">
        <v>36</v>
      </c>
      <c r="L99">
        <v>38</v>
      </c>
      <c r="M99">
        <v>15656</v>
      </c>
      <c r="N99">
        <v>11865.9</v>
      </c>
      <c r="O99">
        <v>3790.1</v>
      </c>
      <c r="P99">
        <v>72</v>
      </c>
      <c r="Q99">
        <v>4.9000000000000004</v>
      </c>
      <c r="R99">
        <v>5</v>
      </c>
      <c r="S99" t="s">
        <v>37</v>
      </c>
      <c r="T99" t="s">
        <v>38</v>
      </c>
      <c r="U99" t="s">
        <v>39</v>
      </c>
      <c r="V99">
        <v>9.93</v>
      </c>
      <c r="W99">
        <v>76.260000000000005</v>
      </c>
      <c r="X99">
        <v>9326</v>
      </c>
      <c r="Y99">
        <v>14084</v>
      </c>
      <c r="Z99">
        <v>7971</v>
      </c>
      <c r="AA99">
        <v>9386</v>
      </c>
      <c r="AB99" t="s">
        <v>56</v>
      </c>
      <c r="AN99" s="3">
        <v>133</v>
      </c>
      <c r="AO99">
        <v>7314</v>
      </c>
      <c r="AQ99" s="6">
        <v>117</v>
      </c>
      <c r="AR99" s="5">
        <v>13540</v>
      </c>
    </row>
    <row r="100" spans="1:44" x14ac:dyDescent="0.3">
      <c r="A100">
        <v>1098</v>
      </c>
      <c r="B100" t="s">
        <v>65</v>
      </c>
      <c r="C100" t="s">
        <v>29</v>
      </c>
      <c r="D100" t="s">
        <v>66</v>
      </c>
      <c r="E100" t="s">
        <v>67</v>
      </c>
      <c r="F100" t="s">
        <v>32</v>
      </c>
      <c r="G100" s="1">
        <v>46065</v>
      </c>
      <c r="H100" t="s">
        <v>33</v>
      </c>
      <c r="I100" t="s">
        <v>69</v>
      </c>
      <c r="J100" t="s">
        <v>70</v>
      </c>
      <c r="K100" t="s">
        <v>47</v>
      </c>
      <c r="L100">
        <v>24</v>
      </c>
      <c r="M100">
        <v>7416</v>
      </c>
      <c r="N100">
        <v>4147.8100000000004</v>
      </c>
      <c r="O100">
        <v>3268.19</v>
      </c>
      <c r="P100">
        <v>134</v>
      </c>
      <c r="Q100">
        <v>4.5999999999999996</v>
      </c>
      <c r="R100">
        <v>5</v>
      </c>
      <c r="S100" t="s">
        <v>37</v>
      </c>
      <c r="T100" t="s">
        <v>49</v>
      </c>
      <c r="U100" t="s">
        <v>55</v>
      </c>
      <c r="V100">
        <v>9.93</v>
      </c>
      <c r="W100">
        <v>76.260000000000005</v>
      </c>
      <c r="X100">
        <v>9696</v>
      </c>
      <c r="Y100">
        <v>10968</v>
      </c>
      <c r="Z100">
        <v>8361</v>
      </c>
      <c r="AA100">
        <v>9229</v>
      </c>
      <c r="AB100" t="s">
        <v>56</v>
      </c>
      <c r="AN100" s="3">
        <v>134</v>
      </c>
      <c r="AO100">
        <v>7416</v>
      </c>
      <c r="AQ100" s="6">
        <v>118</v>
      </c>
      <c r="AR100" s="5">
        <v>15022</v>
      </c>
    </row>
    <row r="101" spans="1:44" x14ac:dyDescent="0.3">
      <c r="A101">
        <v>1099</v>
      </c>
      <c r="B101" t="s">
        <v>60</v>
      </c>
      <c r="C101" t="s">
        <v>29</v>
      </c>
      <c r="D101" t="s">
        <v>61</v>
      </c>
      <c r="E101" t="s">
        <v>62</v>
      </c>
      <c r="F101" t="s">
        <v>32</v>
      </c>
      <c r="G101" s="1">
        <v>46128</v>
      </c>
      <c r="H101" t="s">
        <v>75</v>
      </c>
      <c r="I101" t="s">
        <v>34</v>
      </c>
      <c r="J101" t="s">
        <v>46</v>
      </c>
      <c r="K101" t="s">
        <v>59</v>
      </c>
      <c r="L101">
        <v>19</v>
      </c>
      <c r="M101">
        <v>7866</v>
      </c>
      <c r="N101">
        <v>6236.07</v>
      </c>
      <c r="O101">
        <v>1629.93</v>
      </c>
      <c r="P101">
        <v>184</v>
      </c>
      <c r="Q101">
        <v>4</v>
      </c>
      <c r="R101">
        <v>0</v>
      </c>
      <c r="S101" t="s">
        <v>37</v>
      </c>
      <c r="T101" t="s">
        <v>76</v>
      </c>
      <c r="U101" t="s">
        <v>39</v>
      </c>
      <c r="V101">
        <v>13.08</v>
      </c>
      <c r="W101">
        <v>80.27</v>
      </c>
      <c r="X101">
        <v>9611</v>
      </c>
      <c r="Y101">
        <v>10809</v>
      </c>
      <c r="Z101">
        <v>8844</v>
      </c>
      <c r="AA101">
        <v>9119</v>
      </c>
      <c r="AB101" t="s">
        <v>56</v>
      </c>
      <c r="AN101" s="3">
        <v>137</v>
      </c>
      <c r="AO101">
        <v>8098.666666666667</v>
      </c>
      <c r="AQ101" s="6">
        <v>119</v>
      </c>
      <c r="AR101" s="5">
        <v>6572</v>
      </c>
    </row>
    <row r="102" spans="1:44" x14ac:dyDescent="0.3">
      <c r="A102">
        <v>1100</v>
      </c>
      <c r="B102" t="s">
        <v>60</v>
      </c>
      <c r="C102" t="s">
        <v>29</v>
      </c>
      <c r="D102" t="s">
        <v>61</v>
      </c>
      <c r="E102" t="s">
        <v>62</v>
      </c>
      <c r="F102" t="s">
        <v>32</v>
      </c>
      <c r="G102" s="1">
        <v>46084</v>
      </c>
      <c r="H102" t="s">
        <v>71</v>
      </c>
      <c r="I102" t="s">
        <v>34</v>
      </c>
      <c r="J102" t="s">
        <v>46</v>
      </c>
      <c r="K102" t="s">
        <v>73</v>
      </c>
      <c r="L102">
        <v>40</v>
      </c>
      <c r="M102">
        <v>15120</v>
      </c>
      <c r="N102">
        <v>11180.76</v>
      </c>
      <c r="O102">
        <v>3939.24</v>
      </c>
      <c r="P102">
        <v>153</v>
      </c>
      <c r="Q102">
        <v>4.2</v>
      </c>
      <c r="R102">
        <v>15</v>
      </c>
      <c r="S102" t="s">
        <v>64</v>
      </c>
      <c r="T102" t="s">
        <v>49</v>
      </c>
      <c r="U102" t="s">
        <v>39</v>
      </c>
      <c r="V102">
        <v>13.08</v>
      </c>
      <c r="W102">
        <v>80.27</v>
      </c>
      <c r="X102">
        <v>11722</v>
      </c>
      <c r="Y102">
        <v>13615</v>
      </c>
      <c r="Z102">
        <v>10171</v>
      </c>
      <c r="AA102">
        <v>11554</v>
      </c>
      <c r="AB102" t="s">
        <v>40</v>
      </c>
      <c r="AN102" s="3">
        <v>139</v>
      </c>
      <c r="AO102">
        <v>8532.75</v>
      </c>
      <c r="AQ102" s="6">
        <v>120</v>
      </c>
      <c r="AR102" s="5">
        <v>11741</v>
      </c>
    </row>
    <row r="103" spans="1:44" x14ac:dyDescent="0.3">
      <c r="A103">
        <v>1101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s="1">
        <v>46159</v>
      </c>
      <c r="H103" t="s">
        <v>54</v>
      </c>
      <c r="I103" t="s">
        <v>80</v>
      </c>
      <c r="J103" t="s">
        <v>81</v>
      </c>
      <c r="K103" t="s">
        <v>36</v>
      </c>
      <c r="L103">
        <v>13</v>
      </c>
      <c r="M103">
        <v>2964</v>
      </c>
      <c r="N103">
        <v>1670.23</v>
      </c>
      <c r="O103">
        <v>1293.77</v>
      </c>
      <c r="P103">
        <v>190</v>
      </c>
      <c r="Q103">
        <v>4.7</v>
      </c>
      <c r="R103">
        <v>5</v>
      </c>
      <c r="S103" t="s">
        <v>48</v>
      </c>
      <c r="T103" t="s">
        <v>76</v>
      </c>
      <c r="U103" t="s">
        <v>74</v>
      </c>
      <c r="V103">
        <v>12.97</v>
      </c>
      <c r="W103">
        <v>77.59</v>
      </c>
      <c r="X103">
        <v>9912</v>
      </c>
      <c r="Y103">
        <v>11804</v>
      </c>
      <c r="Z103">
        <v>8652</v>
      </c>
      <c r="AA103">
        <v>9391</v>
      </c>
      <c r="AB103" t="s">
        <v>40</v>
      </c>
      <c r="AN103" s="3">
        <v>140</v>
      </c>
      <c r="AO103">
        <v>6584</v>
      </c>
      <c r="AQ103" s="6">
        <v>121</v>
      </c>
      <c r="AR103" s="5">
        <v>11000</v>
      </c>
    </row>
    <row r="104" spans="1:44" x14ac:dyDescent="0.3">
      <c r="A104">
        <v>1102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s="1">
        <v>46066</v>
      </c>
      <c r="H104" t="s">
        <v>33</v>
      </c>
      <c r="I104" t="s">
        <v>57</v>
      </c>
      <c r="J104" t="s">
        <v>83</v>
      </c>
      <c r="K104" t="s">
        <v>73</v>
      </c>
      <c r="L104">
        <v>33</v>
      </c>
      <c r="M104">
        <v>12903</v>
      </c>
      <c r="N104">
        <v>7640.02</v>
      </c>
      <c r="O104">
        <v>5262.98</v>
      </c>
      <c r="P104">
        <v>213</v>
      </c>
      <c r="Q104">
        <v>4</v>
      </c>
      <c r="R104">
        <v>0</v>
      </c>
      <c r="S104" t="s">
        <v>48</v>
      </c>
      <c r="T104" t="s">
        <v>49</v>
      </c>
      <c r="U104" t="s">
        <v>55</v>
      </c>
      <c r="V104">
        <v>12.97</v>
      </c>
      <c r="W104">
        <v>77.59</v>
      </c>
      <c r="X104">
        <v>8030</v>
      </c>
      <c r="Y104">
        <v>9082</v>
      </c>
      <c r="Z104">
        <v>6300</v>
      </c>
      <c r="AA104">
        <v>6748</v>
      </c>
      <c r="AB104" t="s">
        <v>63</v>
      </c>
      <c r="AN104" s="3">
        <v>141</v>
      </c>
      <c r="AO104">
        <v>13268</v>
      </c>
      <c r="AQ104" s="6">
        <v>122</v>
      </c>
      <c r="AR104" s="5">
        <v>2796.5</v>
      </c>
    </row>
    <row r="105" spans="1:44" x14ac:dyDescent="0.3">
      <c r="A105">
        <v>1103</v>
      </c>
      <c r="B105" t="s">
        <v>65</v>
      </c>
      <c r="C105" t="s">
        <v>29</v>
      </c>
      <c r="D105" t="s">
        <v>66</v>
      </c>
      <c r="E105" t="s">
        <v>67</v>
      </c>
      <c r="F105" t="s">
        <v>32</v>
      </c>
      <c r="G105" s="1">
        <v>46060</v>
      </c>
      <c r="H105" t="s">
        <v>33</v>
      </c>
      <c r="I105" t="s">
        <v>34</v>
      </c>
      <c r="J105" t="s">
        <v>35</v>
      </c>
      <c r="K105" t="s">
        <v>36</v>
      </c>
      <c r="L105">
        <v>57</v>
      </c>
      <c r="M105">
        <v>17499</v>
      </c>
      <c r="N105">
        <v>11305.65</v>
      </c>
      <c r="O105">
        <v>6193.35</v>
      </c>
      <c r="P105">
        <v>261</v>
      </c>
      <c r="Q105">
        <v>3.8</v>
      </c>
      <c r="R105">
        <v>15</v>
      </c>
      <c r="S105" t="s">
        <v>48</v>
      </c>
      <c r="T105" t="s">
        <v>49</v>
      </c>
      <c r="U105" t="s">
        <v>39</v>
      </c>
      <c r="V105">
        <v>9.93</v>
      </c>
      <c r="W105">
        <v>76.260000000000005</v>
      </c>
      <c r="X105">
        <v>13510</v>
      </c>
      <c r="Y105">
        <v>15990</v>
      </c>
      <c r="Z105">
        <v>12417</v>
      </c>
      <c r="AA105">
        <v>13377</v>
      </c>
      <c r="AB105" t="s">
        <v>56</v>
      </c>
      <c r="AN105" s="3">
        <v>143</v>
      </c>
      <c r="AO105">
        <v>1938</v>
      </c>
      <c r="AQ105" s="6">
        <v>123</v>
      </c>
      <c r="AR105" s="5">
        <v>10650</v>
      </c>
    </row>
    <row r="106" spans="1:44" x14ac:dyDescent="0.3">
      <c r="A106">
        <v>1104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s="1">
        <v>46068</v>
      </c>
      <c r="H106" t="s">
        <v>33</v>
      </c>
      <c r="I106" t="s">
        <v>57</v>
      </c>
      <c r="J106" t="s">
        <v>83</v>
      </c>
      <c r="K106" t="s">
        <v>59</v>
      </c>
      <c r="L106">
        <v>15</v>
      </c>
      <c r="M106">
        <v>5325</v>
      </c>
      <c r="N106">
        <v>4138.99</v>
      </c>
      <c r="O106">
        <v>1186.01</v>
      </c>
      <c r="P106">
        <v>61</v>
      </c>
      <c r="Q106">
        <v>4</v>
      </c>
      <c r="R106">
        <v>0</v>
      </c>
      <c r="S106" t="s">
        <v>48</v>
      </c>
      <c r="T106" t="s">
        <v>76</v>
      </c>
      <c r="U106" t="s">
        <v>55</v>
      </c>
      <c r="V106">
        <v>12.97</v>
      </c>
      <c r="W106">
        <v>77.59</v>
      </c>
      <c r="X106">
        <v>13337</v>
      </c>
      <c r="Y106">
        <v>18222</v>
      </c>
      <c r="Z106">
        <v>11548</v>
      </c>
      <c r="AA106">
        <v>12261</v>
      </c>
      <c r="AB106" t="s">
        <v>79</v>
      </c>
      <c r="AN106" s="3">
        <v>144</v>
      </c>
      <c r="AO106">
        <v>9516.6666666666661</v>
      </c>
      <c r="AQ106" s="6">
        <v>124</v>
      </c>
      <c r="AR106" s="5">
        <v>9882</v>
      </c>
    </row>
    <row r="107" spans="1:44" x14ac:dyDescent="0.3">
      <c r="A107">
        <v>1105</v>
      </c>
      <c r="B107" t="s">
        <v>65</v>
      </c>
      <c r="C107" t="s">
        <v>29</v>
      </c>
      <c r="D107" t="s">
        <v>66</v>
      </c>
      <c r="E107" t="s">
        <v>67</v>
      </c>
      <c r="F107" t="s">
        <v>32</v>
      </c>
      <c r="G107" s="1">
        <v>46166</v>
      </c>
      <c r="H107" t="s">
        <v>54</v>
      </c>
      <c r="I107" t="s">
        <v>80</v>
      </c>
      <c r="J107" t="s">
        <v>81</v>
      </c>
      <c r="K107" t="s">
        <v>78</v>
      </c>
      <c r="L107">
        <v>27</v>
      </c>
      <c r="M107">
        <v>9342</v>
      </c>
      <c r="N107">
        <v>5379.92</v>
      </c>
      <c r="O107">
        <v>3962.08</v>
      </c>
      <c r="P107">
        <v>236</v>
      </c>
      <c r="Q107">
        <v>4.4000000000000004</v>
      </c>
      <c r="R107">
        <v>0</v>
      </c>
      <c r="S107" t="s">
        <v>48</v>
      </c>
      <c r="T107" t="s">
        <v>38</v>
      </c>
      <c r="U107" t="s">
        <v>39</v>
      </c>
      <c r="V107">
        <v>9.93</v>
      </c>
      <c r="W107">
        <v>76.260000000000005</v>
      </c>
      <c r="X107">
        <v>10127</v>
      </c>
      <c r="Y107">
        <v>13835</v>
      </c>
      <c r="Z107">
        <v>8706</v>
      </c>
      <c r="AA107">
        <v>11243</v>
      </c>
      <c r="AB107" t="s">
        <v>79</v>
      </c>
      <c r="AN107" s="3">
        <v>145</v>
      </c>
      <c r="AO107">
        <v>20123.5</v>
      </c>
      <c r="AQ107" s="6">
        <v>125</v>
      </c>
      <c r="AR107" s="5">
        <v>1935</v>
      </c>
    </row>
    <row r="108" spans="1:44" x14ac:dyDescent="0.3">
      <c r="A108">
        <v>1106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s="1">
        <v>46192</v>
      </c>
      <c r="H108" t="s">
        <v>68</v>
      </c>
      <c r="I108" t="s">
        <v>34</v>
      </c>
      <c r="J108" t="s">
        <v>35</v>
      </c>
      <c r="K108" t="s">
        <v>47</v>
      </c>
      <c r="L108">
        <v>55</v>
      </c>
      <c r="M108">
        <v>18315</v>
      </c>
      <c r="N108">
        <v>13954.32</v>
      </c>
      <c r="O108">
        <v>4360.68</v>
      </c>
      <c r="P108">
        <v>63</v>
      </c>
      <c r="Q108">
        <v>3.8</v>
      </c>
      <c r="R108">
        <v>10</v>
      </c>
      <c r="S108" t="s">
        <v>64</v>
      </c>
      <c r="T108" t="s">
        <v>49</v>
      </c>
      <c r="U108" t="s">
        <v>39</v>
      </c>
      <c r="V108">
        <v>12.97</v>
      </c>
      <c r="W108">
        <v>77.59</v>
      </c>
      <c r="X108">
        <v>13606</v>
      </c>
      <c r="Y108">
        <v>15176</v>
      </c>
      <c r="Z108">
        <v>12601</v>
      </c>
      <c r="AA108">
        <v>13847</v>
      </c>
      <c r="AB108" t="s">
        <v>56</v>
      </c>
      <c r="AN108" s="3">
        <v>147</v>
      </c>
      <c r="AO108">
        <v>5096</v>
      </c>
      <c r="AQ108" s="6">
        <v>126</v>
      </c>
      <c r="AR108" s="5">
        <v>5487.666666666667</v>
      </c>
    </row>
    <row r="109" spans="1:44" x14ac:dyDescent="0.3">
      <c r="A109">
        <v>1107</v>
      </c>
      <c r="B109" t="s">
        <v>50</v>
      </c>
      <c r="C109" t="s">
        <v>29</v>
      </c>
      <c r="D109" t="s">
        <v>51</v>
      </c>
      <c r="E109" t="s">
        <v>52</v>
      </c>
      <c r="F109" t="s">
        <v>53</v>
      </c>
      <c r="G109" s="1">
        <v>46160</v>
      </c>
      <c r="H109" t="s">
        <v>54</v>
      </c>
      <c r="I109" t="s">
        <v>34</v>
      </c>
      <c r="J109" t="s">
        <v>46</v>
      </c>
      <c r="K109" t="s">
        <v>78</v>
      </c>
      <c r="L109">
        <v>12</v>
      </c>
      <c r="M109">
        <v>4860</v>
      </c>
      <c r="N109">
        <v>3856.32</v>
      </c>
      <c r="O109">
        <v>1003.68</v>
      </c>
      <c r="P109">
        <v>185</v>
      </c>
      <c r="Q109">
        <v>3.9</v>
      </c>
      <c r="R109">
        <v>0</v>
      </c>
      <c r="S109" t="s">
        <v>64</v>
      </c>
      <c r="T109" t="s">
        <v>38</v>
      </c>
      <c r="U109" t="s">
        <v>74</v>
      </c>
      <c r="V109">
        <v>19.07</v>
      </c>
      <c r="W109">
        <v>72.87</v>
      </c>
      <c r="X109">
        <v>5508</v>
      </c>
      <c r="Y109">
        <v>9795</v>
      </c>
      <c r="Z109">
        <v>4941</v>
      </c>
      <c r="AA109">
        <v>7915</v>
      </c>
      <c r="AB109" t="s">
        <v>40</v>
      </c>
      <c r="AN109" s="3">
        <v>148</v>
      </c>
      <c r="AO109">
        <v>3312</v>
      </c>
      <c r="AQ109" s="6">
        <v>127</v>
      </c>
      <c r="AR109" s="5">
        <v>9519</v>
      </c>
    </row>
    <row r="110" spans="1:44" x14ac:dyDescent="0.3">
      <c r="A110">
        <v>1108</v>
      </c>
      <c r="B110" t="s">
        <v>60</v>
      </c>
      <c r="C110" t="s">
        <v>29</v>
      </c>
      <c r="D110" t="s">
        <v>61</v>
      </c>
      <c r="E110" t="s">
        <v>62</v>
      </c>
      <c r="F110" t="s">
        <v>32</v>
      </c>
      <c r="G110" s="1">
        <v>46063</v>
      </c>
      <c r="H110" t="s">
        <v>33</v>
      </c>
      <c r="I110" t="s">
        <v>80</v>
      </c>
      <c r="J110" t="s">
        <v>81</v>
      </c>
      <c r="K110" t="s">
        <v>36</v>
      </c>
      <c r="L110">
        <v>17</v>
      </c>
      <c r="M110">
        <v>4794</v>
      </c>
      <c r="N110">
        <v>2996.56</v>
      </c>
      <c r="O110">
        <v>1797.44</v>
      </c>
      <c r="P110">
        <v>181</v>
      </c>
      <c r="Q110">
        <v>4.4000000000000004</v>
      </c>
      <c r="R110">
        <v>5</v>
      </c>
      <c r="S110" t="s">
        <v>64</v>
      </c>
      <c r="T110" t="s">
        <v>38</v>
      </c>
      <c r="U110" t="s">
        <v>74</v>
      </c>
      <c r="V110">
        <v>13.08</v>
      </c>
      <c r="W110">
        <v>80.27</v>
      </c>
      <c r="X110">
        <v>5830</v>
      </c>
      <c r="Y110">
        <v>7307</v>
      </c>
      <c r="Z110">
        <v>4428</v>
      </c>
      <c r="AA110">
        <v>5006</v>
      </c>
      <c r="AB110" t="s">
        <v>40</v>
      </c>
      <c r="AN110" s="3">
        <v>149</v>
      </c>
      <c r="AO110">
        <v>4763.5</v>
      </c>
      <c r="AQ110" s="6">
        <v>128</v>
      </c>
      <c r="AR110" s="5">
        <v>8061</v>
      </c>
    </row>
    <row r="111" spans="1:44" x14ac:dyDescent="0.3">
      <c r="A111">
        <v>1109</v>
      </c>
      <c r="B111" t="s">
        <v>41</v>
      </c>
      <c r="C111" t="s">
        <v>29</v>
      </c>
      <c r="D111" t="s">
        <v>42</v>
      </c>
      <c r="E111" t="s">
        <v>43</v>
      </c>
      <c r="F111" t="s">
        <v>44</v>
      </c>
      <c r="G111" s="1">
        <v>46200</v>
      </c>
      <c r="H111" t="s">
        <v>68</v>
      </c>
      <c r="I111" t="s">
        <v>69</v>
      </c>
      <c r="J111" t="s">
        <v>72</v>
      </c>
      <c r="K111" t="s">
        <v>78</v>
      </c>
      <c r="L111">
        <v>15</v>
      </c>
      <c r="M111">
        <v>6015</v>
      </c>
      <c r="N111">
        <v>4418.01</v>
      </c>
      <c r="O111">
        <v>1596.99</v>
      </c>
      <c r="P111">
        <v>234</v>
      </c>
      <c r="Q111">
        <v>4.7</v>
      </c>
      <c r="R111">
        <v>5</v>
      </c>
      <c r="S111" t="s">
        <v>37</v>
      </c>
      <c r="T111" t="s">
        <v>38</v>
      </c>
      <c r="U111" t="s">
        <v>74</v>
      </c>
      <c r="V111">
        <v>28.61</v>
      </c>
      <c r="W111">
        <v>77.2</v>
      </c>
      <c r="X111">
        <v>6471</v>
      </c>
      <c r="Y111">
        <v>9990</v>
      </c>
      <c r="Z111">
        <v>5543</v>
      </c>
      <c r="AA111">
        <v>7043</v>
      </c>
      <c r="AB111" t="s">
        <v>79</v>
      </c>
      <c r="AN111" s="3">
        <v>151</v>
      </c>
      <c r="AO111">
        <v>4579.5</v>
      </c>
      <c r="AQ111" s="6">
        <v>129</v>
      </c>
      <c r="AR111" s="5">
        <v>6582</v>
      </c>
    </row>
    <row r="112" spans="1:44" x14ac:dyDescent="0.3">
      <c r="A112">
        <v>1110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s="1">
        <v>46140</v>
      </c>
      <c r="H112" t="s">
        <v>75</v>
      </c>
      <c r="I112" t="s">
        <v>34</v>
      </c>
      <c r="J112" t="s">
        <v>77</v>
      </c>
      <c r="K112" t="s">
        <v>36</v>
      </c>
      <c r="L112">
        <v>39</v>
      </c>
      <c r="M112">
        <v>12909</v>
      </c>
      <c r="N112">
        <v>9263.17</v>
      </c>
      <c r="O112">
        <v>3645.83</v>
      </c>
      <c r="P112">
        <v>185</v>
      </c>
      <c r="Q112">
        <v>3.6</v>
      </c>
      <c r="R112">
        <v>15</v>
      </c>
      <c r="S112" t="s">
        <v>48</v>
      </c>
      <c r="T112" t="s">
        <v>76</v>
      </c>
      <c r="U112" t="s">
        <v>74</v>
      </c>
      <c r="V112">
        <v>12.97</v>
      </c>
      <c r="W112">
        <v>77.59</v>
      </c>
      <c r="X112">
        <v>7827</v>
      </c>
      <c r="Y112">
        <v>12437</v>
      </c>
      <c r="Z112">
        <v>7127</v>
      </c>
      <c r="AA112">
        <v>10000</v>
      </c>
      <c r="AB112" t="s">
        <v>63</v>
      </c>
      <c r="AN112" s="3">
        <v>152</v>
      </c>
      <c r="AO112">
        <v>1694</v>
      </c>
      <c r="AQ112" s="6">
        <v>130</v>
      </c>
      <c r="AR112" s="5">
        <v>5205.333333333333</v>
      </c>
    </row>
    <row r="113" spans="1:44" x14ac:dyDescent="0.3">
      <c r="A113">
        <v>1111</v>
      </c>
      <c r="B113" t="s">
        <v>65</v>
      </c>
      <c r="C113" t="s">
        <v>29</v>
      </c>
      <c r="D113" t="s">
        <v>66</v>
      </c>
      <c r="E113" t="s">
        <v>67</v>
      </c>
      <c r="F113" t="s">
        <v>32</v>
      </c>
      <c r="G113" s="1">
        <v>46158</v>
      </c>
      <c r="H113" t="s">
        <v>54</v>
      </c>
      <c r="I113" t="s">
        <v>80</v>
      </c>
      <c r="J113" t="s">
        <v>81</v>
      </c>
      <c r="K113" t="s">
        <v>36</v>
      </c>
      <c r="L113">
        <v>31</v>
      </c>
      <c r="M113">
        <v>12648</v>
      </c>
      <c r="N113">
        <v>9706.48</v>
      </c>
      <c r="O113">
        <v>2941.52</v>
      </c>
      <c r="P113">
        <v>46</v>
      </c>
      <c r="Q113">
        <v>5</v>
      </c>
      <c r="R113">
        <v>15</v>
      </c>
      <c r="S113" t="s">
        <v>64</v>
      </c>
      <c r="T113" t="s">
        <v>76</v>
      </c>
      <c r="U113" t="s">
        <v>39</v>
      </c>
      <c r="V113">
        <v>9.93</v>
      </c>
      <c r="W113">
        <v>76.260000000000005</v>
      </c>
      <c r="X113">
        <v>10338</v>
      </c>
      <c r="Y113">
        <v>14596</v>
      </c>
      <c r="Z113">
        <v>8644</v>
      </c>
      <c r="AA113">
        <v>11164</v>
      </c>
      <c r="AB113" t="s">
        <v>56</v>
      </c>
      <c r="AN113" s="3">
        <v>153</v>
      </c>
      <c r="AO113">
        <v>15570</v>
      </c>
      <c r="AQ113" s="6">
        <v>131</v>
      </c>
      <c r="AR113" s="5">
        <v>11301.333333333334</v>
      </c>
    </row>
    <row r="114" spans="1:44" x14ac:dyDescent="0.3">
      <c r="A114">
        <v>1112</v>
      </c>
      <c r="B114" t="s">
        <v>60</v>
      </c>
      <c r="C114" t="s">
        <v>29</v>
      </c>
      <c r="D114" t="s">
        <v>61</v>
      </c>
      <c r="E114" t="s">
        <v>62</v>
      </c>
      <c r="F114" t="s">
        <v>32</v>
      </c>
      <c r="G114" s="1">
        <v>46178</v>
      </c>
      <c r="H114" t="s">
        <v>68</v>
      </c>
      <c r="I114" t="s">
        <v>80</v>
      </c>
      <c r="J114" t="s">
        <v>82</v>
      </c>
      <c r="K114" t="s">
        <v>47</v>
      </c>
      <c r="L114">
        <v>54</v>
      </c>
      <c r="M114">
        <v>16578</v>
      </c>
      <c r="N114">
        <v>13073.67</v>
      </c>
      <c r="O114">
        <v>3504.33</v>
      </c>
      <c r="P114">
        <v>284</v>
      </c>
      <c r="Q114">
        <v>3.6</v>
      </c>
      <c r="R114">
        <v>0</v>
      </c>
      <c r="S114" t="s">
        <v>48</v>
      </c>
      <c r="T114" t="s">
        <v>76</v>
      </c>
      <c r="U114" t="s">
        <v>55</v>
      </c>
      <c r="V114">
        <v>13.08</v>
      </c>
      <c r="W114">
        <v>80.27</v>
      </c>
      <c r="X114">
        <v>9806</v>
      </c>
      <c r="Y114">
        <v>11939</v>
      </c>
      <c r="Z114">
        <v>8827</v>
      </c>
      <c r="AA114">
        <v>11588</v>
      </c>
      <c r="AB114" t="s">
        <v>56</v>
      </c>
      <c r="AN114" s="3">
        <v>154</v>
      </c>
      <c r="AO114">
        <v>3756</v>
      </c>
      <c r="AQ114" s="6">
        <v>132</v>
      </c>
      <c r="AR114" s="5">
        <v>11023.5</v>
      </c>
    </row>
    <row r="115" spans="1:44" x14ac:dyDescent="0.3">
      <c r="A115">
        <v>1113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s="1">
        <v>46057</v>
      </c>
      <c r="H115" t="s">
        <v>33</v>
      </c>
      <c r="I115" t="s">
        <v>57</v>
      </c>
      <c r="J115" t="s">
        <v>83</v>
      </c>
      <c r="K115" t="s">
        <v>36</v>
      </c>
      <c r="L115">
        <v>31</v>
      </c>
      <c r="M115">
        <v>9238</v>
      </c>
      <c r="N115">
        <v>7025.67</v>
      </c>
      <c r="O115">
        <v>2212.33</v>
      </c>
      <c r="P115">
        <v>230</v>
      </c>
      <c r="Q115">
        <v>4.0999999999999996</v>
      </c>
      <c r="R115">
        <v>0</v>
      </c>
      <c r="S115" t="s">
        <v>37</v>
      </c>
      <c r="T115" t="s">
        <v>38</v>
      </c>
      <c r="U115" t="s">
        <v>39</v>
      </c>
      <c r="V115">
        <v>12.97</v>
      </c>
      <c r="W115">
        <v>77.59</v>
      </c>
      <c r="X115">
        <v>14076</v>
      </c>
      <c r="Y115">
        <v>16243</v>
      </c>
      <c r="Z115">
        <v>12248</v>
      </c>
      <c r="AA115">
        <v>16013</v>
      </c>
      <c r="AB115" t="s">
        <v>79</v>
      </c>
      <c r="AN115" s="3">
        <v>155</v>
      </c>
      <c r="AO115">
        <v>8580</v>
      </c>
      <c r="AQ115" s="6">
        <v>133</v>
      </c>
      <c r="AR115" s="5">
        <v>7314</v>
      </c>
    </row>
    <row r="116" spans="1:44" x14ac:dyDescent="0.3">
      <c r="A116">
        <v>1114</v>
      </c>
      <c r="B116" t="s">
        <v>65</v>
      </c>
      <c r="C116" t="s">
        <v>29</v>
      </c>
      <c r="D116" t="s">
        <v>66</v>
      </c>
      <c r="E116" t="s">
        <v>67</v>
      </c>
      <c r="F116" t="s">
        <v>32</v>
      </c>
      <c r="G116" s="1">
        <v>46188</v>
      </c>
      <c r="H116" t="s">
        <v>68</v>
      </c>
      <c r="I116" t="s">
        <v>69</v>
      </c>
      <c r="J116" t="s">
        <v>72</v>
      </c>
      <c r="K116" t="s">
        <v>47</v>
      </c>
      <c r="L116">
        <v>6</v>
      </c>
      <c r="M116">
        <v>1590</v>
      </c>
      <c r="N116">
        <v>1212.7</v>
      </c>
      <c r="O116">
        <v>377.3</v>
      </c>
      <c r="P116">
        <v>42</v>
      </c>
      <c r="Q116">
        <v>4</v>
      </c>
      <c r="R116">
        <v>5</v>
      </c>
      <c r="S116" t="s">
        <v>48</v>
      </c>
      <c r="T116" t="s">
        <v>49</v>
      </c>
      <c r="U116" t="s">
        <v>55</v>
      </c>
      <c r="V116">
        <v>9.93</v>
      </c>
      <c r="W116">
        <v>76.260000000000005</v>
      </c>
      <c r="X116">
        <v>14464</v>
      </c>
      <c r="Y116">
        <v>15638</v>
      </c>
      <c r="Z116">
        <v>13032</v>
      </c>
      <c r="AA116">
        <v>15378</v>
      </c>
      <c r="AB116" t="s">
        <v>79</v>
      </c>
      <c r="AN116" s="3">
        <v>156</v>
      </c>
      <c r="AO116">
        <v>12234</v>
      </c>
      <c r="AQ116" s="6">
        <v>134</v>
      </c>
      <c r="AR116" s="5">
        <v>7416</v>
      </c>
    </row>
    <row r="117" spans="1:44" x14ac:dyDescent="0.3">
      <c r="A117">
        <v>1115</v>
      </c>
      <c r="B117" t="s">
        <v>41</v>
      </c>
      <c r="C117" t="s">
        <v>29</v>
      </c>
      <c r="D117" t="s">
        <v>42</v>
      </c>
      <c r="E117" t="s">
        <v>43</v>
      </c>
      <c r="F117" t="s">
        <v>44</v>
      </c>
      <c r="G117" s="1">
        <v>46198</v>
      </c>
      <c r="H117" t="s">
        <v>68</v>
      </c>
      <c r="I117" t="s">
        <v>69</v>
      </c>
      <c r="J117" t="s">
        <v>72</v>
      </c>
      <c r="K117" t="s">
        <v>78</v>
      </c>
      <c r="L117">
        <v>54</v>
      </c>
      <c r="M117">
        <v>11988</v>
      </c>
      <c r="N117">
        <v>8480.06</v>
      </c>
      <c r="O117">
        <v>3507.94</v>
      </c>
      <c r="P117">
        <v>117</v>
      </c>
      <c r="Q117">
        <v>3.7</v>
      </c>
      <c r="R117">
        <v>5</v>
      </c>
      <c r="S117" t="s">
        <v>48</v>
      </c>
      <c r="T117" t="s">
        <v>38</v>
      </c>
      <c r="U117" t="s">
        <v>55</v>
      </c>
      <c r="V117">
        <v>28.61</v>
      </c>
      <c r="W117">
        <v>77.2</v>
      </c>
      <c r="X117">
        <v>5422</v>
      </c>
      <c r="Y117">
        <v>7812</v>
      </c>
      <c r="Z117">
        <v>4806</v>
      </c>
      <c r="AA117">
        <v>7583</v>
      </c>
      <c r="AB117" t="s">
        <v>56</v>
      </c>
      <c r="AN117" s="3">
        <v>157</v>
      </c>
      <c r="AO117">
        <v>6251.666666666667</v>
      </c>
      <c r="AQ117" s="6">
        <v>137</v>
      </c>
      <c r="AR117" s="5">
        <v>8098.666666666667</v>
      </c>
    </row>
    <row r="118" spans="1:44" x14ac:dyDescent="0.3">
      <c r="A118">
        <v>1116</v>
      </c>
      <c r="B118" t="s">
        <v>50</v>
      </c>
      <c r="C118" t="s">
        <v>29</v>
      </c>
      <c r="D118" t="s">
        <v>51</v>
      </c>
      <c r="E118" t="s">
        <v>52</v>
      </c>
      <c r="F118" t="s">
        <v>53</v>
      </c>
      <c r="G118" s="1">
        <v>46125</v>
      </c>
      <c r="H118" t="s">
        <v>75</v>
      </c>
      <c r="I118" t="s">
        <v>34</v>
      </c>
      <c r="J118" t="s">
        <v>77</v>
      </c>
      <c r="K118" t="s">
        <v>47</v>
      </c>
      <c r="L118">
        <v>11</v>
      </c>
      <c r="M118">
        <v>3443</v>
      </c>
      <c r="N118">
        <v>2356.66</v>
      </c>
      <c r="O118">
        <v>1086.3399999999999</v>
      </c>
      <c r="P118">
        <v>298</v>
      </c>
      <c r="Q118">
        <v>4.7</v>
      </c>
      <c r="R118">
        <v>5</v>
      </c>
      <c r="S118" t="s">
        <v>64</v>
      </c>
      <c r="T118" t="s">
        <v>38</v>
      </c>
      <c r="U118" t="s">
        <v>74</v>
      </c>
      <c r="V118">
        <v>19.07</v>
      </c>
      <c r="W118">
        <v>72.87</v>
      </c>
      <c r="X118">
        <v>13599</v>
      </c>
      <c r="Y118">
        <v>16894</v>
      </c>
      <c r="Z118">
        <v>12870</v>
      </c>
      <c r="AA118">
        <v>13026</v>
      </c>
      <c r="AB118" t="s">
        <v>63</v>
      </c>
      <c r="AN118" s="3">
        <v>158</v>
      </c>
      <c r="AO118">
        <v>9906.5</v>
      </c>
      <c r="AQ118" s="6">
        <v>139</v>
      </c>
      <c r="AR118" s="5">
        <v>8532.75</v>
      </c>
    </row>
    <row r="119" spans="1:44" x14ac:dyDescent="0.3">
      <c r="A119">
        <v>1117</v>
      </c>
      <c r="B119" t="s">
        <v>41</v>
      </c>
      <c r="C119" t="s">
        <v>29</v>
      </c>
      <c r="D119" t="s">
        <v>42</v>
      </c>
      <c r="E119" t="s">
        <v>43</v>
      </c>
      <c r="F119" t="s">
        <v>44</v>
      </c>
      <c r="G119" s="1">
        <v>46029</v>
      </c>
      <c r="H119" t="s">
        <v>45</v>
      </c>
      <c r="I119" t="s">
        <v>34</v>
      </c>
      <c r="J119" t="s">
        <v>35</v>
      </c>
      <c r="K119" t="s">
        <v>59</v>
      </c>
      <c r="L119">
        <v>45</v>
      </c>
      <c r="M119">
        <v>10215</v>
      </c>
      <c r="N119">
        <v>7187.11</v>
      </c>
      <c r="O119">
        <v>3027.89</v>
      </c>
      <c r="P119">
        <v>263</v>
      </c>
      <c r="Q119">
        <v>4.4000000000000004</v>
      </c>
      <c r="R119">
        <v>0</v>
      </c>
      <c r="S119" t="s">
        <v>37</v>
      </c>
      <c r="T119" t="s">
        <v>49</v>
      </c>
      <c r="U119" t="s">
        <v>39</v>
      </c>
      <c r="V119">
        <v>28.61</v>
      </c>
      <c r="W119">
        <v>77.2</v>
      </c>
      <c r="X119">
        <v>7538</v>
      </c>
      <c r="Y119">
        <v>11494</v>
      </c>
      <c r="Z119">
        <v>6894</v>
      </c>
      <c r="AA119">
        <v>9120</v>
      </c>
      <c r="AB119" t="s">
        <v>40</v>
      </c>
      <c r="AN119" s="3">
        <v>159</v>
      </c>
      <c r="AO119">
        <v>3648</v>
      </c>
      <c r="AQ119" s="6">
        <v>140</v>
      </c>
      <c r="AR119" s="5">
        <v>6584</v>
      </c>
    </row>
    <row r="120" spans="1:44" x14ac:dyDescent="0.3">
      <c r="A120">
        <v>1118</v>
      </c>
      <c r="B120" t="s">
        <v>50</v>
      </c>
      <c r="C120" t="s">
        <v>29</v>
      </c>
      <c r="D120" t="s">
        <v>51</v>
      </c>
      <c r="E120" t="s">
        <v>52</v>
      </c>
      <c r="F120" t="s">
        <v>53</v>
      </c>
      <c r="G120" s="1">
        <v>46078</v>
      </c>
      <c r="H120" t="s">
        <v>33</v>
      </c>
      <c r="I120" t="s">
        <v>57</v>
      </c>
      <c r="J120" t="s">
        <v>83</v>
      </c>
      <c r="K120" t="s">
        <v>73</v>
      </c>
      <c r="L120">
        <v>19</v>
      </c>
      <c r="M120">
        <v>5662</v>
      </c>
      <c r="N120">
        <v>3543.47</v>
      </c>
      <c r="O120">
        <v>2118.5300000000002</v>
      </c>
      <c r="P120">
        <v>223</v>
      </c>
      <c r="Q120">
        <v>4.5</v>
      </c>
      <c r="R120">
        <v>10</v>
      </c>
      <c r="S120" t="s">
        <v>37</v>
      </c>
      <c r="T120" t="s">
        <v>76</v>
      </c>
      <c r="U120" t="s">
        <v>55</v>
      </c>
      <c r="V120">
        <v>19.07</v>
      </c>
      <c r="W120">
        <v>72.87</v>
      </c>
      <c r="X120">
        <v>9485</v>
      </c>
      <c r="Y120">
        <v>13701</v>
      </c>
      <c r="Z120">
        <v>7989</v>
      </c>
      <c r="AA120">
        <v>8692</v>
      </c>
      <c r="AB120" t="s">
        <v>63</v>
      </c>
      <c r="AN120" s="3">
        <v>160</v>
      </c>
      <c r="AO120">
        <v>11802</v>
      </c>
      <c r="AQ120" s="6">
        <v>141</v>
      </c>
      <c r="AR120" s="5">
        <v>13268</v>
      </c>
    </row>
    <row r="121" spans="1:44" x14ac:dyDescent="0.3">
      <c r="A121">
        <v>1119</v>
      </c>
      <c r="B121" t="s">
        <v>41</v>
      </c>
      <c r="C121" t="s">
        <v>29</v>
      </c>
      <c r="D121" t="s">
        <v>42</v>
      </c>
      <c r="E121" t="s">
        <v>43</v>
      </c>
      <c r="F121" t="s">
        <v>44</v>
      </c>
      <c r="G121" s="1">
        <v>46181</v>
      </c>
      <c r="H121" t="s">
        <v>68</v>
      </c>
      <c r="I121" t="s">
        <v>57</v>
      </c>
      <c r="J121" t="s">
        <v>58</v>
      </c>
      <c r="K121" t="s">
        <v>47</v>
      </c>
      <c r="L121">
        <v>49</v>
      </c>
      <c r="M121">
        <v>15092</v>
      </c>
      <c r="N121">
        <v>9349.74</v>
      </c>
      <c r="O121">
        <v>5742.26</v>
      </c>
      <c r="P121">
        <v>117</v>
      </c>
      <c r="Q121">
        <v>4.9000000000000004</v>
      </c>
      <c r="R121">
        <v>0</v>
      </c>
      <c r="S121" t="s">
        <v>48</v>
      </c>
      <c r="T121" t="s">
        <v>38</v>
      </c>
      <c r="U121" t="s">
        <v>74</v>
      </c>
      <c r="V121">
        <v>28.61</v>
      </c>
      <c r="W121">
        <v>77.2</v>
      </c>
      <c r="X121">
        <v>7241</v>
      </c>
      <c r="Y121">
        <v>10775</v>
      </c>
      <c r="Z121">
        <v>5643</v>
      </c>
      <c r="AA121">
        <v>9993</v>
      </c>
      <c r="AB121" t="s">
        <v>79</v>
      </c>
      <c r="AN121" s="3">
        <v>161</v>
      </c>
      <c r="AO121">
        <v>8080</v>
      </c>
      <c r="AQ121" s="6">
        <v>143</v>
      </c>
      <c r="AR121" s="5">
        <v>1938</v>
      </c>
    </row>
    <row r="122" spans="1:44" x14ac:dyDescent="0.3">
      <c r="A122">
        <v>1120</v>
      </c>
      <c r="B122" t="s">
        <v>60</v>
      </c>
      <c r="C122" t="s">
        <v>29</v>
      </c>
      <c r="D122" t="s">
        <v>61</v>
      </c>
      <c r="E122" t="s">
        <v>62</v>
      </c>
      <c r="F122" t="s">
        <v>32</v>
      </c>
      <c r="G122" s="1">
        <v>46191</v>
      </c>
      <c r="H122" t="s">
        <v>68</v>
      </c>
      <c r="I122" t="s">
        <v>57</v>
      </c>
      <c r="J122" t="s">
        <v>83</v>
      </c>
      <c r="K122" t="s">
        <v>78</v>
      </c>
      <c r="L122">
        <v>33</v>
      </c>
      <c r="M122">
        <v>9042</v>
      </c>
      <c r="N122">
        <v>6379.51</v>
      </c>
      <c r="O122">
        <v>2662.49</v>
      </c>
      <c r="P122">
        <v>44</v>
      </c>
      <c r="Q122">
        <v>4.8</v>
      </c>
      <c r="R122">
        <v>5</v>
      </c>
      <c r="S122" t="s">
        <v>48</v>
      </c>
      <c r="T122" t="s">
        <v>38</v>
      </c>
      <c r="U122" t="s">
        <v>74</v>
      </c>
      <c r="V122">
        <v>13.08</v>
      </c>
      <c r="W122">
        <v>80.27</v>
      </c>
      <c r="X122">
        <v>6147</v>
      </c>
      <c r="Y122">
        <v>9916</v>
      </c>
      <c r="Z122">
        <v>5256</v>
      </c>
      <c r="AA122">
        <v>8101</v>
      </c>
      <c r="AB122" t="s">
        <v>56</v>
      </c>
      <c r="AN122" s="3">
        <v>162</v>
      </c>
      <c r="AO122">
        <v>6378.666666666667</v>
      </c>
      <c r="AQ122" s="6">
        <v>144</v>
      </c>
      <c r="AR122" s="5">
        <v>9516.6666666666661</v>
      </c>
    </row>
    <row r="123" spans="1:44" x14ac:dyDescent="0.3">
      <c r="A123">
        <v>1121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s="1">
        <v>46195</v>
      </c>
      <c r="H123" t="s">
        <v>68</v>
      </c>
      <c r="I123" t="s">
        <v>80</v>
      </c>
      <c r="J123" t="s">
        <v>81</v>
      </c>
      <c r="K123" t="s">
        <v>47</v>
      </c>
      <c r="L123">
        <v>42</v>
      </c>
      <c r="M123">
        <v>15120</v>
      </c>
      <c r="N123">
        <v>9486.59</v>
      </c>
      <c r="O123">
        <v>5633.41</v>
      </c>
      <c r="P123">
        <v>279</v>
      </c>
      <c r="Q123">
        <v>4.0999999999999996</v>
      </c>
      <c r="R123">
        <v>10</v>
      </c>
      <c r="S123" t="s">
        <v>64</v>
      </c>
      <c r="T123" t="s">
        <v>49</v>
      </c>
      <c r="U123" t="s">
        <v>55</v>
      </c>
      <c r="V123">
        <v>12.97</v>
      </c>
      <c r="W123">
        <v>77.59</v>
      </c>
      <c r="X123">
        <v>9893</v>
      </c>
      <c r="Y123">
        <v>11998</v>
      </c>
      <c r="Z123">
        <v>8279</v>
      </c>
      <c r="AA123">
        <v>11023</v>
      </c>
      <c r="AB123" t="s">
        <v>56</v>
      </c>
      <c r="AN123" s="3">
        <v>163</v>
      </c>
      <c r="AO123">
        <v>18392</v>
      </c>
      <c r="AQ123" s="6">
        <v>145</v>
      </c>
      <c r="AR123" s="5">
        <v>20123.5</v>
      </c>
    </row>
    <row r="124" spans="1:44" x14ac:dyDescent="0.3">
      <c r="A124">
        <v>1122</v>
      </c>
      <c r="B124" t="s">
        <v>60</v>
      </c>
      <c r="C124" t="s">
        <v>29</v>
      </c>
      <c r="D124" t="s">
        <v>61</v>
      </c>
      <c r="E124" t="s">
        <v>62</v>
      </c>
      <c r="F124" t="s">
        <v>32</v>
      </c>
      <c r="G124" s="1">
        <v>46126</v>
      </c>
      <c r="H124" t="s">
        <v>75</v>
      </c>
      <c r="I124" t="s">
        <v>57</v>
      </c>
      <c r="J124" t="s">
        <v>58</v>
      </c>
      <c r="K124" t="s">
        <v>78</v>
      </c>
      <c r="L124">
        <v>38</v>
      </c>
      <c r="M124">
        <v>14060</v>
      </c>
      <c r="N124">
        <v>9280.33</v>
      </c>
      <c r="O124">
        <v>4779.67</v>
      </c>
      <c r="P124">
        <v>240</v>
      </c>
      <c r="Q124">
        <v>4.9000000000000004</v>
      </c>
      <c r="R124">
        <v>5</v>
      </c>
      <c r="S124" t="s">
        <v>64</v>
      </c>
      <c r="T124" t="s">
        <v>76</v>
      </c>
      <c r="U124" t="s">
        <v>74</v>
      </c>
      <c r="V124">
        <v>13.08</v>
      </c>
      <c r="W124">
        <v>80.27</v>
      </c>
      <c r="X124">
        <v>13946</v>
      </c>
      <c r="Y124">
        <v>17208</v>
      </c>
      <c r="Z124">
        <v>12153</v>
      </c>
      <c r="AA124">
        <v>14598</v>
      </c>
      <c r="AB124" t="s">
        <v>79</v>
      </c>
      <c r="AN124" s="3">
        <v>164</v>
      </c>
      <c r="AO124">
        <v>6102</v>
      </c>
      <c r="AQ124" s="6">
        <v>147</v>
      </c>
      <c r="AR124" s="5">
        <v>5096</v>
      </c>
    </row>
    <row r="125" spans="1:44" x14ac:dyDescent="0.3">
      <c r="A125">
        <v>1123</v>
      </c>
      <c r="B125" t="s">
        <v>41</v>
      </c>
      <c r="C125" t="s">
        <v>29</v>
      </c>
      <c r="D125" t="s">
        <v>42</v>
      </c>
      <c r="E125" t="s">
        <v>43</v>
      </c>
      <c r="F125" t="s">
        <v>44</v>
      </c>
      <c r="G125" s="1">
        <v>46093</v>
      </c>
      <c r="H125" t="s">
        <v>71</v>
      </c>
      <c r="I125" t="s">
        <v>34</v>
      </c>
      <c r="J125" t="s">
        <v>46</v>
      </c>
      <c r="K125" t="s">
        <v>47</v>
      </c>
      <c r="L125">
        <v>44</v>
      </c>
      <c r="M125">
        <v>18392</v>
      </c>
      <c r="N125">
        <v>13944.36</v>
      </c>
      <c r="O125">
        <v>4447.6400000000003</v>
      </c>
      <c r="P125">
        <v>163</v>
      </c>
      <c r="Q125">
        <v>3.7</v>
      </c>
      <c r="R125">
        <v>15</v>
      </c>
      <c r="S125" t="s">
        <v>48</v>
      </c>
      <c r="T125" t="s">
        <v>76</v>
      </c>
      <c r="U125" t="s">
        <v>39</v>
      </c>
      <c r="V125">
        <v>28.61</v>
      </c>
      <c r="W125">
        <v>77.2</v>
      </c>
      <c r="X125">
        <v>9645</v>
      </c>
      <c r="Y125">
        <v>13101</v>
      </c>
      <c r="Z125">
        <v>8090</v>
      </c>
      <c r="AA125">
        <v>8477</v>
      </c>
      <c r="AB125" t="s">
        <v>56</v>
      </c>
      <c r="AN125" s="3">
        <v>165</v>
      </c>
      <c r="AO125">
        <v>4893</v>
      </c>
      <c r="AQ125" s="6">
        <v>148</v>
      </c>
      <c r="AR125" s="5">
        <v>3312</v>
      </c>
    </row>
    <row r="126" spans="1:44" x14ac:dyDescent="0.3">
      <c r="A126">
        <v>1124</v>
      </c>
      <c r="B126" t="s">
        <v>41</v>
      </c>
      <c r="C126" t="s">
        <v>29</v>
      </c>
      <c r="D126" t="s">
        <v>42</v>
      </c>
      <c r="E126" t="s">
        <v>43</v>
      </c>
      <c r="F126" t="s">
        <v>44</v>
      </c>
      <c r="G126" s="1">
        <v>46040</v>
      </c>
      <c r="H126" t="s">
        <v>45</v>
      </c>
      <c r="I126" t="s">
        <v>69</v>
      </c>
      <c r="J126" t="s">
        <v>70</v>
      </c>
      <c r="K126" t="s">
        <v>73</v>
      </c>
      <c r="L126">
        <v>37</v>
      </c>
      <c r="M126">
        <v>12506</v>
      </c>
      <c r="N126">
        <v>7238.25</v>
      </c>
      <c r="O126">
        <v>5267.75</v>
      </c>
      <c r="P126">
        <v>166</v>
      </c>
      <c r="Q126">
        <v>4.7</v>
      </c>
      <c r="R126">
        <v>15</v>
      </c>
      <c r="S126" t="s">
        <v>48</v>
      </c>
      <c r="T126" t="s">
        <v>76</v>
      </c>
      <c r="U126" t="s">
        <v>55</v>
      </c>
      <c r="V126">
        <v>28.61</v>
      </c>
      <c r="W126">
        <v>77.2</v>
      </c>
      <c r="X126">
        <v>9601</v>
      </c>
      <c r="Y126">
        <v>14431</v>
      </c>
      <c r="Z126">
        <v>7601</v>
      </c>
      <c r="AA126">
        <v>9301</v>
      </c>
      <c r="AB126" t="s">
        <v>63</v>
      </c>
      <c r="AN126" s="3">
        <v>166</v>
      </c>
      <c r="AO126">
        <v>11940.5</v>
      </c>
      <c r="AQ126" s="6">
        <v>149</v>
      </c>
      <c r="AR126" s="5">
        <v>4763.5</v>
      </c>
    </row>
    <row r="127" spans="1:44" x14ac:dyDescent="0.3">
      <c r="A127">
        <v>1125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s="1">
        <v>46162</v>
      </c>
      <c r="H127" t="s">
        <v>54</v>
      </c>
      <c r="I127" t="s">
        <v>34</v>
      </c>
      <c r="J127" t="s">
        <v>77</v>
      </c>
      <c r="K127" t="s">
        <v>73</v>
      </c>
      <c r="L127">
        <v>52</v>
      </c>
      <c r="M127">
        <v>13728</v>
      </c>
      <c r="N127">
        <v>8476.11</v>
      </c>
      <c r="O127">
        <v>5251.89</v>
      </c>
      <c r="P127">
        <v>52</v>
      </c>
      <c r="Q127">
        <v>4.4000000000000004</v>
      </c>
      <c r="R127">
        <v>0</v>
      </c>
      <c r="S127" t="s">
        <v>37</v>
      </c>
      <c r="T127" t="s">
        <v>38</v>
      </c>
      <c r="U127" t="s">
        <v>55</v>
      </c>
      <c r="V127">
        <v>12.97</v>
      </c>
      <c r="W127">
        <v>77.59</v>
      </c>
      <c r="X127">
        <v>11483</v>
      </c>
      <c r="Y127">
        <v>15109</v>
      </c>
      <c r="Z127">
        <v>9562</v>
      </c>
      <c r="AA127">
        <v>12792</v>
      </c>
      <c r="AB127" t="s">
        <v>79</v>
      </c>
      <c r="AN127" s="3">
        <v>168</v>
      </c>
      <c r="AO127">
        <v>8668.3333333333339</v>
      </c>
      <c r="AQ127" s="6">
        <v>151</v>
      </c>
      <c r="AR127" s="5">
        <v>4579.5</v>
      </c>
    </row>
    <row r="128" spans="1:44" x14ac:dyDescent="0.3">
      <c r="A128">
        <v>1126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s="1">
        <v>46144</v>
      </c>
      <c r="H128" t="s">
        <v>54</v>
      </c>
      <c r="I128" t="s">
        <v>69</v>
      </c>
      <c r="J128" t="s">
        <v>72</v>
      </c>
      <c r="K128" t="s">
        <v>59</v>
      </c>
      <c r="L128">
        <v>55</v>
      </c>
      <c r="M128">
        <v>22605</v>
      </c>
      <c r="N128">
        <v>14577.16</v>
      </c>
      <c r="O128">
        <v>8027.84</v>
      </c>
      <c r="P128">
        <v>90</v>
      </c>
      <c r="Q128">
        <v>3.7</v>
      </c>
      <c r="R128">
        <v>15</v>
      </c>
      <c r="S128" t="s">
        <v>48</v>
      </c>
      <c r="T128" t="s">
        <v>76</v>
      </c>
      <c r="U128" t="s">
        <v>74</v>
      </c>
      <c r="V128">
        <v>12.97</v>
      </c>
      <c r="W128">
        <v>77.59</v>
      </c>
      <c r="X128">
        <v>8260</v>
      </c>
      <c r="Y128">
        <v>10501</v>
      </c>
      <c r="Z128">
        <v>7102</v>
      </c>
      <c r="AA128">
        <v>7206</v>
      </c>
      <c r="AB128" t="s">
        <v>40</v>
      </c>
      <c r="AN128" s="3">
        <v>169</v>
      </c>
      <c r="AO128">
        <v>7467</v>
      </c>
      <c r="AQ128" s="6">
        <v>152</v>
      </c>
      <c r="AR128" s="5">
        <v>1694</v>
      </c>
    </row>
    <row r="129" spans="1:44" x14ac:dyDescent="0.3">
      <c r="A129">
        <v>1127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s="1">
        <v>46077</v>
      </c>
      <c r="H129" t="s">
        <v>33</v>
      </c>
      <c r="I129" t="s">
        <v>34</v>
      </c>
      <c r="J129" t="s">
        <v>77</v>
      </c>
      <c r="K129" t="s">
        <v>47</v>
      </c>
      <c r="L129">
        <v>42</v>
      </c>
      <c r="M129">
        <v>8358</v>
      </c>
      <c r="N129">
        <v>5102.25</v>
      </c>
      <c r="O129">
        <v>3255.75</v>
      </c>
      <c r="P129">
        <v>229</v>
      </c>
      <c r="Q129">
        <v>4.2</v>
      </c>
      <c r="R129">
        <v>5</v>
      </c>
      <c r="S129" t="s">
        <v>48</v>
      </c>
      <c r="T129" t="s">
        <v>76</v>
      </c>
      <c r="U129" t="s">
        <v>55</v>
      </c>
      <c r="V129">
        <v>12.97</v>
      </c>
      <c r="W129">
        <v>77.59</v>
      </c>
      <c r="X129">
        <v>14174</v>
      </c>
      <c r="Y129">
        <v>16609</v>
      </c>
      <c r="Z129">
        <v>13383</v>
      </c>
      <c r="AA129">
        <v>15577</v>
      </c>
      <c r="AB129" t="s">
        <v>63</v>
      </c>
      <c r="AN129" s="3">
        <v>170</v>
      </c>
      <c r="AO129">
        <v>2005</v>
      </c>
      <c r="AQ129" s="6">
        <v>153</v>
      </c>
      <c r="AR129" s="5">
        <v>15570</v>
      </c>
    </row>
    <row r="130" spans="1:44" x14ac:dyDescent="0.3">
      <c r="A130">
        <v>1128</v>
      </c>
      <c r="B130" t="s">
        <v>65</v>
      </c>
      <c r="C130" t="s">
        <v>29</v>
      </c>
      <c r="D130" t="s">
        <v>66</v>
      </c>
      <c r="E130" t="s">
        <v>67</v>
      </c>
      <c r="F130" t="s">
        <v>32</v>
      </c>
      <c r="G130" s="1">
        <v>46124</v>
      </c>
      <c r="H130" t="s">
        <v>75</v>
      </c>
      <c r="I130" t="s">
        <v>57</v>
      </c>
      <c r="J130" t="s">
        <v>58</v>
      </c>
      <c r="K130" t="s">
        <v>47</v>
      </c>
      <c r="L130">
        <v>22</v>
      </c>
      <c r="M130">
        <v>4752</v>
      </c>
      <c r="N130">
        <v>2756.77</v>
      </c>
      <c r="O130">
        <v>1995.23</v>
      </c>
      <c r="P130">
        <v>197</v>
      </c>
      <c r="Q130">
        <v>3.9</v>
      </c>
      <c r="R130">
        <v>10</v>
      </c>
      <c r="S130" t="s">
        <v>37</v>
      </c>
      <c r="T130" t="s">
        <v>76</v>
      </c>
      <c r="U130" t="s">
        <v>55</v>
      </c>
      <c r="V130">
        <v>9.93</v>
      </c>
      <c r="W130">
        <v>76.260000000000005</v>
      </c>
      <c r="X130">
        <v>12630</v>
      </c>
      <c r="Y130">
        <v>16226</v>
      </c>
      <c r="Z130">
        <v>11334</v>
      </c>
      <c r="AA130">
        <v>13672</v>
      </c>
      <c r="AB130" t="s">
        <v>40</v>
      </c>
      <c r="AN130" s="3">
        <v>171</v>
      </c>
      <c r="AO130">
        <v>11917</v>
      </c>
      <c r="AQ130" s="6">
        <v>154</v>
      </c>
      <c r="AR130" s="5">
        <v>3756</v>
      </c>
    </row>
    <row r="131" spans="1:44" x14ac:dyDescent="0.3">
      <c r="A131">
        <v>1129</v>
      </c>
      <c r="B131" t="s">
        <v>50</v>
      </c>
      <c r="C131" t="s">
        <v>29</v>
      </c>
      <c r="D131" t="s">
        <v>51</v>
      </c>
      <c r="E131" t="s">
        <v>52</v>
      </c>
      <c r="F131" t="s">
        <v>53</v>
      </c>
      <c r="G131" s="1">
        <v>46187</v>
      </c>
      <c r="H131" t="s">
        <v>68</v>
      </c>
      <c r="I131" t="s">
        <v>34</v>
      </c>
      <c r="J131" t="s">
        <v>77</v>
      </c>
      <c r="K131" t="s">
        <v>47</v>
      </c>
      <c r="L131">
        <v>54</v>
      </c>
      <c r="M131">
        <v>10854</v>
      </c>
      <c r="N131">
        <v>7429.71</v>
      </c>
      <c r="O131">
        <v>3424.29</v>
      </c>
      <c r="P131">
        <v>81</v>
      </c>
      <c r="Q131">
        <v>5</v>
      </c>
      <c r="R131">
        <v>0</v>
      </c>
      <c r="S131" t="s">
        <v>37</v>
      </c>
      <c r="T131" t="s">
        <v>49</v>
      </c>
      <c r="U131" t="s">
        <v>39</v>
      </c>
      <c r="V131">
        <v>19.07</v>
      </c>
      <c r="W131">
        <v>72.87</v>
      </c>
      <c r="X131">
        <v>8034</v>
      </c>
      <c r="Y131">
        <v>11373</v>
      </c>
      <c r="Z131">
        <v>6412</v>
      </c>
      <c r="AA131">
        <v>10757</v>
      </c>
      <c r="AB131" t="s">
        <v>56</v>
      </c>
      <c r="AN131" s="3">
        <v>172</v>
      </c>
      <c r="AO131">
        <v>9250.5</v>
      </c>
      <c r="AQ131" s="6">
        <v>155</v>
      </c>
      <c r="AR131" s="5">
        <v>8580</v>
      </c>
    </row>
    <row r="132" spans="1:44" x14ac:dyDescent="0.3">
      <c r="A132">
        <v>1130</v>
      </c>
      <c r="B132" t="s">
        <v>60</v>
      </c>
      <c r="C132" t="s">
        <v>29</v>
      </c>
      <c r="D132" t="s">
        <v>61</v>
      </c>
      <c r="E132" t="s">
        <v>62</v>
      </c>
      <c r="F132" t="s">
        <v>32</v>
      </c>
      <c r="G132" s="1">
        <v>46057</v>
      </c>
      <c r="H132" t="s">
        <v>33</v>
      </c>
      <c r="I132" t="s">
        <v>80</v>
      </c>
      <c r="J132" t="s">
        <v>81</v>
      </c>
      <c r="K132" t="s">
        <v>36</v>
      </c>
      <c r="L132">
        <v>12</v>
      </c>
      <c r="M132">
        <v>2532</v>
      </c>
      <c r="N132">
        <v>1582.91</v>
      </c>
      <c r="O132">
        <v>949.09</v>
      </c>
      <c r="P132">
        <v>200</v>
      </c>
      <c r="Q132">
        <v>3.9</v>
      </c>
      <c r="R132">
        <v>10</v>
      </c>
      <c r="S132" t="s">
        <v>37</v>
      </c>
      <c r="T132" t="s">
        <v>49</v>
      </c>
      <c r="U132" t="s">
        <v>74</v>
      </c>
      <c r="V132">
        <v>13.08</v>
      </c>
      <c r="W132">
        <v>80.27</v>
      </c>
      <c r="X132">
        <v>14194</v>
      </c>
      <c r="Y132">
        <v>18455</v>
      </c>
      <c r="Z132">
        <v>13345</v>
      </c>
      <c r="AA132">
        <v>14439</v>
      </c>
      <c r="AB132" t="s">
        <v>79</v>
      </c>
      <c r="AN132" s="3">
        <v>173</v>
      </c>
      <c r="AO132">
        <v>12660</v>
      </c>
      <c r="AQ132" s="6">
        <v>156</v>
      </c>
      <c r="AR132" s="5">
        <v>12234</v>
      </c>
    </row>
    <row r="133" spans="1:44" x14ac:dyDescent="0.3">
      <c r="A133">
        <v>1131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s="1">
        <v>46157</v>
      </c>
      <c r="H133" t="s">
        <v>54</v>
      </c>
      <c r="I133" t="s">
        <v>34</v>
      </c>
      <c r="J133" t="s">
        <v>46</v>
      </c>
      <c r="K133" t="s">
        <v>47</v>
      </c>
      <c r="L133">
        <v>54</v>
      </c>
      <c r="M133">
        <v>13554</v>
      </c>
      <c r="N133">
        <v>8173.68</v>
      </c>
      <c r="O133">
        <v>5380.32</v>
      </c>
      <c r="P133">
        <v>168</v>
      </c>
      <c r="Q133">
        <v>4.9000000000000004</v>
      </c>
      <c r="R133">
        <v>5</v>
      </c>
      <c r="S133" t="s">
        <v>64</v>
      </c>
      <c r="T133" t="s">
        <v>38</v>
      </c>
      <c r="U133" t="s">
        <v>39</v>
      </c>
      <c r="V133">
        <v>12.97</v>
      </c>
      <c r="W133">
        <v>77.59</v>
      </c>
      <c r="X133">
        <v>8912</v>
      </c>
      <c r="Y133">
        <v>12631</v>
      </c>
      <c r="Z133">
        <v>7645</v>
      </c>
      <c r="AA133">
        <v>9539</v>
      </c>
      <c r="AB133" t="s">
        <v>79</v>
      </c>
      <c r="AN133" s="3">
        <v>174</v>
      </c>
      <c r="AO133">
        <v>3632</v>
      </c>
      <c r="AQ133" s="6">
        <v>157</v>
      </c>
      <c r="AR133" s="5">
        <v>6251.666666666667</v>
      </c>
    </row>
    <row r="134" spans="1:44" x14ac:dyDescent="0.3">
      <c r="A134">
        <v>1132</v>
      </c>
      <c r="B134" t="s">
        <v>50</v>
      </c>
      <c r="C134" t="s">
        <v>29</v>
      </c>
      <c r="D134" t="s">
        <v>51</v>
      </c>
      <c r="E134" t="s">
        <v>52</v>
      </c>
      <c r="F134" t="s">
        <v>53</v>
      </c>
      <c r="G134" s="1">
        <v>46168</v>
      </c>
      <c r="H134" t="s">
        <v>54</v>
      </c>
      <c r="I134" t="s">
        <v>34</v>
      </c>
      <c r="J134" t="s">
        <v>77</v>
      </c>
      <c r="K134" t="s">
        <v>47</v>
      </c>
      <c r="L134">
        <v>48</v>
      </c>
      <c r="M134">
        <v>18816</v>
      </c>
      <c r="N134">
        <v>14594.79</v>
      </c>
      <c r="O134">
        <v>4221.21</v>
      </c>
      <c r="P134">
        <v>50</v>
      </c>
      <c r="Q134">
        <v>4.4000000000000004</v>
      </c>
      <c r="R134">
        <v>10</v>
      </c>
      <c r="S134" t="s">
        <v>37</v>
      </c>
      <c r="T134" t="s">
        <v>76</v>
      </c>
      <c r="U134" t="s">
        <v>74</v>
      </c>
      <c r="V134">
        <v>19.07</v>
      </c>
      <c r="W134">
        <v>72.87</v>
      </c>
      <c r="X134">
        <v>6556</v>
      </c>
      <c r="Y134">
        <v>7792</v>
      </c>
      <c r="Z134">
        <v>4684</v>
      </c>
      <c r="AA134">
        <v>5288</v>
      </c>
      <c r="AB134" t="s">
        <v>63</v>
      </c>
      <c r="AN134" s="3">
        <v>175</v>
      </c>
      <c r="AO134">
        <v>18535</v>
      </c>
      <c r="AQ134" s="6">
        <v>158</v>
      </c>
      <c r="AR134" s="5">
        <v>9906.5</v>
      </c>
    </row>
    <row r="135" spans="1:44" x14ac:dyDescent="0.3">
      <c r="A135">
        <v>1133</v>
      </c>
      <c r="B135" t="s">
        <v>60</v>
      </c>
      <c r="C135" t="s">
        <v>29</v>
      </c>
      <c r="D135" t="s">
        <v>61</v>
      </c>
      <c r="E135" t="s">
        <v>62</v>
      </c>
      <c r="F135" t="s">
        <v>32</v>
      </c>
      <c r="G135" s="1">
        <v>46150</v>
      </c>
      <c r="H135" t="s">
        <v>54</v>
      </c>
      <c r="I135" t="s">
        <v>69</v>
      </c>
      <c r="J135" t="s">
        <v>72</v>
      </c>
      <c r="K135" t="s">
        <v>78</v>
      </c>
      <c r="L135">
        <v>34</v>
      </c>
      <c r="M135">
        <v>10370</v>
      </c>
      <c r="N135">
        <v>6082.43</v>
      </c>
      <c r="O135">
        <v>4287.57</v>
      </c>
      <c r="P135">
        <v>191</v>
      </c>
      <c r="Q135">
        <v>3.9</v>
      </c>
      <c r="R135">
        <v>10</v>
      </c>
      <c r="S135" t="s">
        <v>64</v>
      </c>
      <c r="T135" t="s">
        <v>49</v>
      </c>
      <c r="U135" t="s">
        <v>39</v>
      </c>
      <c r="V135">
        <v>13.08</v>
      </c>
      <c r="W135">
        <v>80.27</v>
      </c>
      <c r="X135">
        <v>13856</v>
      </c>
      <c r="Y135">
        <v>16683</v>
      </c>
      <c r="Z135">
        <v>12155</v>
      </c>
      <c r="AA135">
        <v>12407</v>
      </c>
      <c r="AB135" t="s">
        <v>40</v>
      </c>
      <c r="AN135" s="3">
        <v>176</v>
      </c>
      <c r="AO135">
        <v>17368</v>
      </c>
      <c r="AQ135" s="6">
        <v>159</v>
      </c>
      <c r="AR135" s="5">
        <v>3648</v>
      </c>
    </row>
    <row r="136" spans="1:44" x14ac:dyDescent="0.3">
      <c r="A136">
        <v>1134</v>
      </c>
      <c r="B136" t="s">
        <v>50</v>
      </c>
      <c r="C136" t="s">
        <v>29</v>
      </c>
      <c r="D136" t="s">
        <v>51</v>
      </c>
      <c r="E136" t="s">
        <v>52</v>
      </c>
      <c r="F136" t="s">
        <v>53</v>
      </c>
      <c r="G136" s="1">
        <v>46103</v>
      </c>
      <c r="H136" t="s">
        <v>71</v>
      </c>
      <c r="I136" t="s">
        <v>57</v>
      </c>
      <c r="J136" t="s">
        <v>83</v>
      </c>
      <c r="K136" t="s">
        <v>36</v>
      </c>
      <c r="L136">
        <v>15</v>
      </c>
      <c r="M136">
        <v>3480</v>
      </c>
      <c r="N136">
        <v>2255.33</v>
      </c>
      <c r="O136">
        <v>1224.67</v>
      </c>
      <c r="P136">
        <v>274</v>
      </c>
      <c r="Q136">
        <v>4.2</v>
      </c>
      <c r="R136">
        <v>10</v>
      </c>
      <c r="S136" t="s">
        <v>48</v>
      </c>
      <c r="T136" t="s">
        <v>49</v>
      </c>
      <c r="U136" t="s">
        <v>39</v>
      </c>
      <c r="V136">
        <v>19.07</v>
      </c>
      <c r="W136">
        <v>72.87</v>
      </c>
      <c r="X136">
        <v>6125</v>
      </c>
      <c r="Y136">
        <v>8320</v>
      </c>
      <c r="Z136">
        <v>4199</v>
      </c>
      <c r="AA136">
        <v>7615</v>
      </c>
      <c r="AB136" t="s">
        <v>56</v>
      </c>
      <c r="AN136" s="3">
        <v>177</v>
      </c>
      <c r="AO136">
        <v>10048.799999999999</v>
      </c>
      <c r="AQ136" s="6">
        <v>160</v>
      </c>
      <c r="AR136" s="5">
        <v>11802</v>
      </c>
    </row>
    <row r="137" spans="1:44" x14ac:dyDescent="0.3">
      <c r="A137">
        <v>1135</v>
      </c>
      <c r="B137" t="s">
        <v>65</v>
      </c>
      <c r="C137" t="s">
        <v>29</v>
      </c>
      <c r="D137" t="s">
        <v>66</v>
      </c>
      <c r="E137" t="s">
        <v>67</v>
      </c>
      <c r="F137" t="s">
        <v>32</v>
      </c>
      <c r="G137" s="1">
        <v>46059</v>
      </c>
      <c r="H137" t="s">
        <v>33</v>
      </c>
      <c r="I137" t="s">
        <v>69</v>
      </c>
      <c r="J137" t="s">
        <v>70</v>
      </c>
      <c r="K137" t="s">
        <v>59</v>
      </c>
      <c r="L137">
        <v>15</v>
      </c>
      <c r="M137">
        <v>4515</v>
      </c>
      <c r="N137">
        <v>2573.13</v>
      </c>
      <c r="O137">
        <v>1941.87</v>
      </c>
      <c r="P137">
        <v>168</v>
      </c>
      <c r="Q137">
        <v>4.8</v>
      </c>
      <c r="R137">
        <v>5</v>
      </c>
      <c r="S137" t="s">
        <v>37</v>
      </c>
      <c r="T137" t="s">
        <v>38</v>
      </c>
      <c r="U137" t="s">
        <v>55</v>
      </c>
      <c r="V137">
        <v>9.93</v>
      </c>
      <c r="W137">
        <v>76.260000000000005</v>
      </c>
      <c r="X137">
        <v>5087</v>
      </c>
      <c r="Y137">
        <v>8856</v>
      </c>
      <c r="Z137">
        <v>3453</v>
      </c>
      <c r="AA137">
        <v>7130</v>
      </c>
      <c r="AB137" t="s">
        <v>79</v>
      </c>
      <c r="AN137" s="3">
        <v>179</v>
      </c>
      <c r="AO137">
        <v>4672</v>
      </c>
      <c r="AQ137" s="6">
        <v>161</v>
      </c>
      <c r="AR137" s="5">
        <v>8080</v>
      </c>
    </row>
    <row r="138" spans="1:44" x14ac:dyDescent="0.3">
      <c r="A138">
        <v>1136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s="1">
        <v>46154</v>
      </c>
      <c r="H138" t="s">
        <v>54</v>
      </c>
      <c r="I138" t="s">
        <v>80</v>
      </c>
      <c r="J138" t="s">
        <v>82</v>
      </c>
      <c r="K138" t="s">
        <v>59</v>
      </c>
      <c r="L138">
        <v>38</v>
      </c>
      <c r="M138">
        <v>10792</v>
      </c>
      <c r="N138">
        <v>6292.98</v>
      </c>
      <c r="O138">
        <v>4499.0200000000004</v>
      </c>
      <c r="P138">
        <v>206</v>
      </c>
      <c r="Q138">
        <v>4.8</v>
      </c>
      <c r="R138">
        <v>5</v>
      </c>
      <c r="S138" t="s">
        <v>64</v>
      </c>
      <c r="T138" t="s">
        <v>76</v>
      </c>
      <c r="U138" t="s">
        <v>39</v>
      </c>
      <c r="V138">
        <v>12.97</v>
      </c>
      <c r="W138">
        <v>77.59</v>
      </c>
      <c r="X138">
        <v>9092</v>
      </c>
      <c r="Y138">
        <v>10625</v>
      </c>
      <c r="Z138">
        <v>8455</v>
      </c>
      <c r="AA138">
        <v>10488</v>
      </c>
      <c r="AB138" t="s">
        <v>79</v>
      </c>
      <c r="AN138" s="3">
        <v>180</v>
      </c>
      <c r="AO138">
        <v>7766</v>
      </c>
      <c r="AQ138" s="6">
        <v>162</v>
      </c>
      <c r="AR138" s="5">
        <v>6378.666666666667</v>
      </c>
    </row>
    <row r="139" spans="1:44" x14ac:dyDescent="0.3">
      <c r="A139">
        <v>1137</v>
      </c>
      <c r="B139" t="s">
        <v>65</v>
      </c>
      <c r="C139" t="s">
        <v>29</v>
      </c>
      <c r="D139" t="s">
        <v>66</v>
      </c>
      <c r="E139" t="s">
        <v>67</v>
      </c>
      <c r="F139" t="s">
        <v>32</v>
      </c>
      <c r="G139" s="1">
        <v>46171</v>
      </c>
      <c r="H139" t="s">
        <v>54</v>
      </c>
      <c r="I139" t="s">
        <v>80</v>
      </c>
      <c r="J139" t="s">
        <v>82</v>
      </c>
      <c r="K139" t="s">
        <v>59</v>
      </c>
      <c r="L139">
        <v>8</v>
      </c>
      <c r="M139">
        <v>2920</v>
      </c>
      <c r="N139">
        <v>2041.36</v>
      </c>
      <c r="O139">
        <v>878.64</v>
      </c>
      <c r="P139">
        <v>185</v>
      </c>
      <c r="Q139">
        <v>3.8</v>
      </c>
      <c r="R139">
        <v>10</v>
      </c>
      <c r="S139" t="s">
        <v>48</v>
      </c>
      <c r="T139" t="s">
        <v>76</v>
      </c>
      <c r="U139" t="s">
        <v>39</v>
      </c>
      <c r="V139">
        <v>9.93</v>
      </c>
      <c r="W139">
        <v>76.260000000000005</v>
      </c>
      <c r="X139">
        <v>6718</v>
      </c>
      <c r="Y139">
        <v>8268</v>
      </c>
      <c r="Z139">
        <v>5173</v>
      </c>
      <c r="AA139">
        <v>7590</v>
      </c>
      <c r="AB139" t="s">
        <v>79</v>
      </c>
      <c r="AN139" s="3">
        <v>181</v>
      </c>
      <c r="AO139">
        <v>10199.666666666666</v>
      </c>
      <c r="AQ139" s="6">
        <v>163</v>
      </c>
      <c r="AR139" s="5">
        <v>18392</v>
      </c>
    </row>
    <row r="140" spans="1:44" x14ac:dyDescent="0.3">
      <c r="A140">
        <v>1138</v>
      </c>
      <c r="B140" t="s">
        <v>41</v>
      </c>
      <c r="C140" t="s">
        <v>29</v>
      </c>
      <c r="D140" t="s">
        <v>42</v>
      </c>
      <c r="E140" t="s">
        <v>43</v>
      </c>
      <c r="F140" t="s">
        <v>44</v>
      </c>
      <c r="G140" s="1">
        <v>46043</v>
      </c>
      <c r="H140" t="s">
        <v>45</v>
      </c>
      <c r="I140" t="s">
        <v>57</v>
      </c>
      <c r="J140" t="s">
        <v>58</v>
      </c>
      <c r="K140" t="s">
        <v>59</v>
      </c>
      <c r="L140">
        <v>9</v>
      </c>
      <c r="M140">
        <v>3510</v>
      </c>
      <c r="N140">
        <v>2167.7399999999998</v>
      </c>
      <c r="O140">
        <v>1342.26</v>
      </c>
      <c r="P140">
        <v>157</v>
      </c>
      <c r="Q140">
        <v>4.8</v>
      </c>
      <c r="R140">
        <v>5</v>
      </c>
      <c r="S140" t="s">
        <v>37</v>
      </c>
      <c r="T140" t="s">
        <v>49</v>
      </c>
      <c r="U140" t="s">
        <v>74</v>
      </c>
      <c r="V140">
        <v>28.61</v>
      </c>
      <c r="W140">
        <v>77.2</v>
      </c>
      <c r="X140">
        <v>5538</v>
      </c>
      <c r="Y140">
        <v>9541</v>
      </c>
      <c r="Z140">
        <v>4396</v>
      </c>
      <c r="AA140">
        <v>5199</v>
      </c>
      <c r="AB140" t="s">
        <v>56</v>
      </c>
      <c r="AN140" s="3">
        <v>183</v>
      </c>
      <c r="AO140">
        <v>8566.5</v>
      </c>
      <c r="AQ140" s="6">
        <v>164</v>
      </c>
      <c r="AR140" s="5">
        <v>6102</v>
      </c>
    </row>
    <row r="141" spans="1:44" x14ac:dyDescent="0.3">
      <c r="A141">
        <v>1139</v>
      </c>
      <c r="B141" t="s">
        <v>50</v>
      </c>
      <c r="C141" t="s">
        <v>29</v>
      </c>
      <c r="D141" t="s">
        <v>51</v>
      </c>
      <c r="E141" t="s">
        <v>52</v>
      </c>
      <c r="F141" t="s">
        <v>53</v>
      </c>
      <c r="G141" s="1">
        <v>46074</v>
      </c>
      <c r="H141" t="s">
        <v>33</v>
      </c>
      <c r="I141" t="s">
        <v>69</v>
      </c>
      <c r="J141" t="s">
        <v>70</v>
      </c>
      <c r="K141" t="s">
        <v>47</v>
      </c>
      <c r="L141">
        <v>60</v>
      </c>
      <c r="M141">
        <v>15240</v>
      </c>
      <c r="N141">
        <v>9075.27</v>
      </c>
      <c r="O141">
        <v>6164.73</v>
      </c>
      <c r="P141">
        <v>40</v>
      </c>
      <c r="Q141">
        <v>4.0999999999999996</v>
      </c>
      <c r="R141">
        <v>0</v>
      </c>
      <c r="S141" t="s">
        <v>48</v>
      </c>
      <c r="T141" t="s">
        <v>49</v>
      </c>
      <c r="U141" t="s">
        <v>55</v>
      </c>
      <c r="V141">
        <v>19.07</v>
      </c>
      <c r="W141">
        <v>72.87</v>
      </c>
      <c r="X141">
        <v>7300</v>
      </c>
      <c r="Y141">
        <v>9533</v>
      </c>
      <c r="Z141">
        <v>6655</v>
      </c>
      <c r="AA141">
        <v>8739</v>
      </c>
      <c r="AB141" t="s">
        <v>79</v>
      </c>
      <c r="AN141" s="3">
        <v>184</v>
      </c>
      <c r="AO141">
        <v>5970</v>
      </c>
      <c r="AQ141" s="6">
        <v>165</v>
      </c>
      <c r="AR141" s="5">
        <v>4893</v>
      </c>
    </row>
    <row r="142" spans="1:44" x14ac:dyDescent="0.3">
      <c r="A142">
        <v>1140</v>
      </c>
      <c r="B142" t="s">
        <v>65</v>
      </c>
      <c r="C142" t="s">
        <v>29</v>
      </c>
      <c r="D142" t="s">
        <v>66</v>
      </c>
      <c r="E142" t="s">
        <v>67</v>
      </c>
      <c r="F142" t="s">
        <v>32</v>
      </c>
      <c r="G142" s="1">
        <v>46122</v>
      </c>
      <c r="H142" t="s">
        <v>75</v>
      </c>
      <c r="I142" t="s">
        <v>80</v>
      </c>
      <c r="J142" t="s">
        <v>82</v>
      </c>
      <c r="K142" t="s">
        <v>59</v>
      </c>
      <c r="L142">
        <v>56</v>
      </c>
      <c r="M142">
        <v>15176</v>
      </c>
      <c r="N142">
        <v>9089.5400000000009</v>
      </c>
      <c r="O142">
        <v>6086.46</v>
      </c>
      <c r="P142">
        <v>139</v>
      </c>
      <c r="Q142">
        <v>3.8</v>
      </c>
      <c r="R142">
        <v>0</v>
      </c>
      <c r="S142" t="s">
        <v>37</v>
      </c>
      <c r="T142" t="s">
        <v>38</v>
      </c>
      <c r="U142" t="s">
        <v>39</v>
      </c>
      <c r="V142">
        <v>9.93</v>
      </c>
      <c r="W142">
        <v>76.260000000000005</v>
      </c>
      <c r="X142">
        <v>9335</v>
      </c>
      <c r="Y142">
        <v>12941</v>
      </c>
      <c r="Z142">
        <v>7927</v>
      </c>
      <c r="AA142">
        <v>11726</v>
      </c>
      <c r="AB142" t="s">
        <v>79</v>
      </c>
      <c r="AN142" s="3">
        <v>185</v>
      </c>
      <c r="AO142">
        <v>8689.75</v>
      </c>
      <c r="AQ142" s="6">
        <v>166</v>
      </c>
      <c r="AR142" s="5">
        <v>11940.5</v>
      </c>
    </row>
    <row r="143" spans="1:44" x14ac:dyDescent="0.3">
      <c r="A143">
        <v>1141</v>
      </c>
      <c r="B143" t="s">
        <v>65</v>
      </c>
      <c r="C143" t="s">
        <v>29</v>
      </c>
      <c r="D143" t="s">
        <v>66</v>
      </c>
      <c r="E143" t="s">
        <v>67</v>
      </c>
      <c r="F143" t="s">
        <v>32</v>
      </c>
      <c r="G143" s="1">
        <v>46203</v>
      </c>
      <c r="H143" t="s">
        <v>68</v>
      </c>
      <c r="I143" t="s">
        <v>69</v>
      </c>
      <c r="J143" t="s">
        <v>72</v>
      </c>
      <c r="K143" t="s">
        <v>47</v>
      </c>
      <c r="L143">
        <v>13</v>
      </c>
      <c r="M143">
        <v>2951</v>
      </c>
      <c r="N143">
        <v>2177.64</v>
      </c>
      <c r="O143">
        <v>773.36</v>
      </c>
      <c r="P143">
        <v>231</v>
      </c>
      <c r="Q143">
        <v>4.4000000000000004</v>
      </c>
      <c r="R143">
        <v>15</v>
      </c>
      <c r="S143" t="s">
        <v>37</v>
      </c>
      <c r="T143" t="s">
        <v>49</v>
      </c>
      <c r="U143" t="s">
        <v>55</v>
      </c>
      <c r="V143">
        <v>9.93</v>
      </c>
      <c r="W143">
        <v>76.260000000000005</v>
      </c>
      <c r="X143">
        <v>10842</v>
      </c>
      <c r="Y143">
        <v>14343</v>
      </c>
      <c r="Z143">
        <v>9925</v>
      </c>
      <c r="AA143">
        <v>10371</v>
      </c>
      <c r="AB143" t="s">
        <v>56</v>
      </c>
      <c r="AN143" s="3">
        <v>187</v>
      </c>
      <c r="AO143">
        <v>14894.6</v>
      </c>
      <c r="AQ143" s="6">
        <v>168</v>
      </c>
      <c r="AR143" s="5">
        <v>8668.3333333333339</v>
      </c>
    </row>
    <row r="144" spans="1:44" x14ac:dyDescent="0.3">
      <c r="A144">
        <v>1142</v>
      </c>
      <c r="B144" t="s">
        <v>60</v>
      </c>
      <c r="C144" t="s">
        <v>29</v>
      </c>
      <c r="D144" t="s">
        <v>61</v>
      </c>
      <c r="E144" t="s">
        <v>62</v>
      </c>
      <c r="F144" t="s">
        <v>32</v>
      </c>
      <c r="G144" s="1">
        <v>46175</v>
      </c>
      <c r="H144" t="s">
        <v>68</v>
      </c>
      <c r="I144" t="s">
        <v>34</v>
      </c>
      <c r="J144" t="s">
        <v>35</v>
      </c>
      <c r="K144" t="s">
        <v>78</v>
      </c>
      <c r="L144">
        <v>37</v>
      </c>
      <c r="M144">
        <v>15022</v>
      </c>
      <c r="N144">
        <v>9244.58</v>
      </c>
      <c r="O144">
        <v>5777.42</v>
      </c>
      <c r="P144">
        <v>118</v>
      </c>
      <c r="Q144">
        <v>4.3</v>
      </c>
      <c r="R144">
        <v>15</v>
      </c>
      <c r="S144" t="s">
        <v>37</v>
      </c>
      <c r="T144" t="s">
        <v>38</v>
      </c>
      <c r="U144" t="s">
        <v>55</v>
      </c>
      <c r="V144">
        <v>13.08</v>
      </c>
      <c r="W144">
        <v>80.27</v>
      </c>
      <c r="X144">
        <v>7114</v>
      </c>
      <c r="Y144">
        <v>10839</v>
      </c>
      <c r="Z144">
        <v>5656</v>
      </c>
      <c r="AA144">
        <v>6500</v>
      </c>
      <c r="AB144" t="s">
        <v>63</v>
      </c>
      <c r="AN144" s="3">
        <v>188</v>
      </c>
      <c r="AO144">
        <v>8370</v>
      </c>
      <c r="AQ144" s="6">
        <v>169</v>
      </c>
      <c r="AR144" s="5">
        <v>7467</v>
      </c>
    </row>
    <row r="145" spans="1:44" x14ac:dyDescent="0.3">
      <c r="A145">
        <v>1143</v>
      </c>
      <c r="B145" t="s">
        <v>41</v>
      </c>
      <c r="C145" t="s">
        <v>29</v>
      </c>
      <c r="D145" t="s">
        <v>42</v>
      </c>
      <c r="E145" t="s">
        <v>43</v>
      </c>
      <c r="F145" t="s">
        <v>44</v>
      </c>
      <c r="G145" s="1">
        <v>46072</v>
      </c>
      <c r="H145" t="s">
        <v>33</v>
      </c>
      <c r="I145" t="s">
        <v>69</v>
      </c>
      <c r="J145" t="s">
        <v>70</v>
      </c>
      <c r="K145" t="s">
        <v>78</v>
      </c>
      <c r="L145">
        <v>23</v>
      </c>
      <c r="M145">
        <v>9568</v>
      </c>
      <c r="N145">
        <v>5397.49</v>
      </c>
      <c r="O145">
        <v>4170.51</v>
      </c>
      <c r="P145">
        <v>193</v>
      </c>
      <c r="Q145">
        <v>4.3</v>
      </c>
      <c r="R145">
        <v>5</v>
      </c>
      <c r="S145" t="s">
        <v>48</v>
      </c>
      <c r="T145" t="s">
        <v>76</v>
      </c>
      <c r="U145" t="s">
        <v>55</v>
      </c>
      <c r="V145">
        <v>28.61</v>
      </c>
      <c r="W145">
        <v>77.2</v>
      </c>
      <c r="X145">
        <v>14479</v>
      </c>
      <c r="Y145">
        <v>16988</v>
      </c>
      <c r="Z145">
        <v>13897</v>
      </c>
      <c r="AA145">
        <v>14763</v>
      </c>
      <c r="AB145" t="s">
        <v>40</v>
      </c>
      <c r="AN145" s="3">
        <v>189</v>
      </c>
      <c r="AO145">
        <v>12977</v>
      </c>
      <c r="AQ145" s="6">
        <v>170</v>
      </c>
      <c r="AR145" s="5">
        <v>2005</v>
      </c>
    </row>
    <row r="146" spans="1:44" x14ac:dyDescent="0.3">
      <c r="A146">
        <v>1144</v>
      </c>
      <c r="B146" t="s">
        <v>65</v>
      </c>
      <c r="C146" t="s">
        <v>29</v>
      </c>
      <c r="D146" t="s">
        <v>66</v>
      </c>
      <c r="E146" t="s">
        <v>67</v>
      </c>
      <c r="F146" t="s">
        <v>32</v>
      </c>
      <c r="G146" s="1">
        <v>46184</v>
      </c>
      <c r="H146" t="s">
        <v>68</v>
      </c>
      <c r="I146" t="s">
        <v>34</v>
      </c>
      <c r="J146" t="s">
        <v>35</v>
      </c>
      <c r="K146" t="s">
        <v>73</v>
      </c>
      <c r="L146">
        <v>39</v>
      </c>
      <c r="M146">
        <v>8580</v>
      </c>
      <c r="N146">
        <v>5237.2</v>
      </c>
      <c r="O146">
        <v>3342.8</v>
      </c>
      <c r="P146">
        <v>155</v>
      </c>
      <c r="Q146">
        <v>4.7</v>
      </c>
      <c r="R146">
        <v>10</v>
      </c>
      <c r="S146" t="s">
        <v>48</v>
      </c>
      <c r="T146" t="s">
        <v>38</v>
      </c>
      <c r="U146" t="s">
        <v>74</v>
      </c>
      <c r="V146">
        <v>9.93</v>
      </c>
      <c r="W146">
        <v>76.260000000000005</v>
      </c>
      <c r="X146">
        <v>13585</v>
      </c>
      <c r="Y146">
        <v>15608</v>
      </c>
      <c r="Z146">
        <v>12949</v>
      </c>
      <c r="AA146">
        <v>14990</v>
      </c>
      <c r="AB146" t="s">
        <v>79</v>
      </c>
      <c r="AN146" s="3">
        <v>190</v>
      </c>
      <c r="AO146">
        <v>2964</v>
      </c>
      <c r="AQ146" s="6">
        <v>171</v>
      </c>
      <c r="AR146" s="5">
        <v>11917</v>
      </c>
    </row>
    <row r="147" spans="1:44" x14ac:dyDescent="0.3">
      <c r="A147">
        <v>1145</v>
      </c>
      <c r="B147" t="s">
        <v>65</v>
      </c>
      <c r="C147" t="s">
        <v>29</v>
      </c>
      <c r="D147" t="s">
        <v>66</v>
      </c>
      <c r="E147" t="s">
        <v>67</v>
      </c>
      <c r="F147" t="s">
        <v>32</v>
      </c>
      <c r="G147" s="1">
        <v>46101</v>
      </c>
      <c r="H147" t="s">
        <v>71</v>
      </c>
      <c r="I147" t="s">
        <v>80</v>
      </c>
      <c r="J147" t="s">
        <v>81</v>
      </c>
      <c r="K147" t="s">
        <v>59</v>
      </c>
      <c r="L147">
        <v>27</v>
      </c>
      <c r="M147">
        <v>7317</v>
      </c>
      <c r="N147">
        <v>5712.79</v>
      </c>
      <c r="O147">
        <v>1604.21</v>
      </c>
      <c r="P147">
        <v>123</v>
      </c>
      <c r="Q147">
        <v>4.8</v>
      </c>
      <c r="R147">
        <v>5</v>
      </c>
      <c r="S147" t="s">
        <v>37</v>
      </c>
      <c r="T147" t="s">
        <v>76</v>
      </c>
      <c r="U147" t="s">
        <v>55</v>
      </c>
      <c r="V147">
        <v>9.93</v>
      </c>
      <c r="W147">
        <v>76.260000000000005</v>
      </c>
      <c r="X147">
        <v>8258</v>
      </c>
      <c r="Y147">
        <v>12840</v>
      </c>
      <c r="Z147">
        <v>7199</v>
      </c>
      <c r="AA147">
        <v>10013</v>
      </c>
      <c r="AB147" t="s">
        <v>79</v>
      </c>
      <c r="AN147" s="3">
        <v>191</v>
      </c>
      <c r="AO147">
        <v>6936.333333333333</v>
      </c>
      <c r="AQ147" s="6">
        <v>172</v>
      </c>
      <c r="AR147" s="5">
        <v>9250.5</v>
      </c>
    </row>
    <row r="148" spans="1:44" x14ac:dyDescent="0.3">
      <c r="A148">
        <v>1146</v>
      </c>
      <c r="B148" t="s">
        <v>50</v>
      </c>
      <c r="C148" t="s">
        <v>29</v>
      </c>
      <c r="D148" t="s">
        <v>51</v>
      </c>
      <c r="E148" t="s">
        <v>52</v>
      </c>
      <c r="F148" t="s">
        <v>53</v>
      </c>
      <c r="G148" s="1">
        <v>46092</v>
      </c>
      <c r="H148" t="s">
        <v>71</v>
      </c>
      <c r="I148" t="s">
        <v>57</v>
      </c>
      <c r="J148" t="s">
        <v>83</v>
      </c>
      <c r="K148" t="s">
        <v>73</v>
      </c>
      <c r="L148">
        <v>31</v>
      </c>
      <c r="M148">
        <v>11935</v>
      </c>
      <c r="N148">
        <v>7977.32</v>
      </c>
      <c r="O148">
        <v>3957.68</v>
      </c>
      <c r="P148">
        <v>263</v>
      </c>
      <c r="Q148">
        <v>4</v>
      </c>
      <c r="R148">
        <v>5</v>
      </c>
      <c r="S148" t="s">
        <v>37</v>
      </c>
      <c r="T148" t="s">
        <v>76</v>
      </c>
      <c r="U148" t="s">
        <v>74</v>
      </c>
      <c r="V148">
        <v>19.07</v>
      </c>
      <c r="W148">
        <v>72.87</v>
      </c>
      <c r="X148">
        <v>6979</v>
      </c>
      <c r="Y148">
        <v>8482</v>
      </c>
      <c r="Z148">
        <v>5134</v>
      </c>
      <c r="AA148">
        <v>6646</v>
      </c>
      <c r="AB148" t="s">
        <v>79</v>
      </c>
      <c r="AN148" s="3">
        <v>192</v>
      </c>
      <c r="AO148">
        <v>12200</v>
      </c>
      <c r="AQ148" s="6">
        <v>173</v>
      </c>
      <c r="AR148" s="5">
        <v>12660</v>
      </c>
    </row>
    <row r="149" spans="1:44" x14ac:dyDescent="0.3">
      <c r="A149">
        <v>1147</v>
      </c>
      <c r="B149" t="s">
        <v>65</v>
      </c>
      <c r="C149" t="s">
        <v>29</v>
      </c>
      <c r="D149" t="s">
        <v>66</v>
      </c>
      <c r="E149" t="s">
        <v>67</v>
      </c>
      <c r="F149" t="s">
        <v>32</v>
      </c>
      <c r="G149" s="1">
        <v>46172</v>
      </c>
      <c r="H149" t="s">
        <v>54</v>
      </c>
      <c r="I149" t="s">
        <v>80</v>
      </c>
      <c r="J149" t="s">
        <v>81</v>
      </c>
      <c r="K149" t="s">
        <v>59</v>
      </c>
      <c r="L149">
        <v>45</v>
      </c>
      <c r="M149">
        <v>8865</v>
      </c>
      <c r="N149">
        <v>6436.15</v>
      </c>
      <c r="O149">
        <v>2428.85</v>
      </c>
      <c r="P149">
        <v>72</v>
      </c>
      <c r="Q149">
        <v>3.5</v>
      </c>
      <c r="R149">
        <v>10</v>
      </c>
      <c r="S149" t="s">
        <v>48</v>
      </c>
      <c r="T149" t="s">
        <v>76</v>
      </c>
      <c r="U149" t="s">
        <v>74</v>
      </c>
      <c r="V149">
        <v>9.93</v>
      </c>
      <c r="W149">
        <v>76.260000000000005</v>
      </c>
      <c r="X149">
        <v>11253</v>
      </c>
      <c r="Y149">
        <v>15687</v>
      </c>
      <c r="Z149">
        <v>9999</v>
      </c>
      <c r="AA149">
        <v>11565</v>
      </c>
      <c r="AB149" t="s">
        <v>63</v>
      </c>
      <c r="AN149" s="3">
        <v>193</v>
      </c>
      <c r="AO149">
        <v>6174</v>
      </c>
      <c r="AQ149" s="6">
        <v>174</v>
      </c>
      <c r="AR149" s="5">
        <v>3632</v>
      </c>
    </row>
    <row r="150" spans="1:44" x14ac:dyDescent="0.3">
      <c r="A150">
        <v>1148</v>
      </c>
      <c r="B150" t="s">
        <v>41</v>
      </c>
      <c r="C150" t="s">
        <v>29</v>
      </c>
      <c r="D150" t="s">
        <v>42</v>
      </c>
      <c r="E150" t="s">
        <v>43</v>
      </c>
      <c r="F150" t="s">
        <v>44</v>
      </c>
      <c r="G150" s="1">
        <v>46201</v>
      </c>
      <c r="H150" t="s">
        <v>68</v>
      </c>
      <c r="I150" t="s">
        <v>34</v>
      </c>
      <c r="J150" t="s">
        <v>35</v>
      </c>
      <c r="K150" t="s">
        <v>47</v>
      </c>
      <c r="L150">
        <v>27</v>
      </c>
      <c r="M150">
        <v>9990</v>
      </c>
      <c r="N150">
        <v>5786.95</v>
      </c>
      <c r="O150">
        <v>4203.05</v>
      </c>
      <c r="P150">
        <v>218</v>
      </c>
      <c r="Q150">
        <v>4.0999999999999996</v>
      </c>
      <c r="R150">
        <v>15</v>
      </c>
      <c r="S150" t="s">
        <v>37</v>
      </c>
      <c r="T150" t="s">
        <v>76</v>
      </c>
      <c r="U150" t="s">
        <v>74</v>
      </c>
      <c r="V150">
        <v>28.61</v>
      </c>
      <c r="W150">
        <v>77.2</v>
      </c>
      <c r="X150">
        <v>9532</v>
      </c>
      <c r="Y150">
        <v>12325</v>
      </c>
      <c r="Z150">
        <v>8247</v>
      </c>
      <c r="AA150">
        <v>8310</v>
      </c>
      <c r="AB150" t="s">
        <v>63</v>
      </c>
      <c r="AN150" s="3">
        <v>194</v>
      </c>
      <c r="AO150">
        <v>15319.666666666666</v>
      </c>
      <c r="AQ150" s="6">
        <v>175</v>
      </c>
      <c r="AR150" s="5">
        <v>18535</v>
      </c>
    </row>
    <row r="151" spans="1:44" x14ac:dyDescent="0.3">
      <c r="A151">
        <v>1149</v>
      </c>
      <c r="B151" t="s">
        <v>60</v>
      </c>
      <c r="C151" t="s">
        <v>29</v>
      </c>
      <c r="D151" t="s">
        <v>61</v>
      </c>
      <c r="E151" t="s">
        <v>62</v>
      </c>
      <c r="F151" t="s">
        <v>32</v>
      </c>
      <c r="G151" s="1">
        <v>46136</v>
      </c>
      <c r="H151" t="s">
        <v>75</v>
      </c>
      <c r="I151" t="s">
        <v>80</v>
      </c>
      <c r="J151" t="s">
        <v>82</v>
      </c>
      <c r="K151" t="s">
        <v>59</v>
      </c>
      <c r="L151">
        <v>55</v>
      </c>
      <c r="M151">
        <v>14520</v>
      </c>
      <c r="N151">
        <v>9235.52</v>
      </c>
      <c r="O151">
        <v>5284.48</v>
      </c>
      <c r="P151">
        <v>201</v>
      </c>
      <c r="Q151">
        <v>4.3</v>
      </c>
      <c r="R151">
        <v>5</v>
      </c>
      <c r="S151" t="s">
        <v>64</v>
      </c>
      <c r="T151" t="s">
        <v>76</v>
      </c>
      <c r="U151" t="s">
        <v>39</v>
      </c>
      <c r="V151">
        <v>13.08</v>
      </c>
      <c r="W151">
        <v>80.27</v>
      </c>
      <c r="X151">
        <v>14465</v>
      </c>
      <c r="Y151">
        <v>16431</v>
      </c>
      <c r="Z151">
        <v>12963</v>
      </c>
      <c r="AA151">
        <v>14447</v>
      </c>
      <c r="AB151" t="s">
        <v>40</v>
      </c>
      <c r="AN151" s="3">
        <v>195</v>
      </c>
      <c r="AO151">
        <v>13614.333333333334</v>
      </c>
      <c r="AQ151" s="6">
        <v>176</v>
      </c>
      <c r="AR151" s="5">
        <v>17368</v>
      </c>
    </row>
    <row r="152" spans="1:44" x14ac:dyDescent="0.3">
      <c r="A152">
        <v>1150</v>
      </c>
      <c r="B152" t="s">
        <v>50</v>
      </c>
      <c r="C152" t="s">
        <v>29</v>
      </c>
      <c r="D152" t="s">
        <v>51</v>
      </c>
      <c r="E152" t="s">
        <v>52</v>
      </c>
      <c r="F152" t="s">
        <v>53</v>
      </c>
      <c r="G152" s="1">
        <v>46182</v>
      </c>
      <c r="H152" t="s">
        <v>68</v>
      </c>
      <c r="I152" t="s">
        <v>69</v>
      </c>
      <c r="J152" t="s">
        <v>72</v>
      </c>
      <c r="K152" t="s">
        <v>59</v>
      </c>
      <c r="L152">
        <v>49</v>
      </c>
      <c r="M152">
        <v>18571</v>
      </c>
      <c r="N152">
        <v>11474.33</v>
      </c>
      <c r="O152">
        <v>7096.67</v>
      </c>
      <c r="P152">
        <v>68</v>
      </c>
      <c r="Q152">
        <v>4.4000000000000004</v>
      </c>
      <c r="R152">
        <v>10</v>
      </c>
      <c r="S152" t="s">
        <v>48</v>
      </c>
      <c r="T152" t="s">
        <v>76</v>
      </c>
      <c r="U152" t="s">
        <v>39</v>
      </c>
      <c r="V152">
        <v>19.07</v>
      </c>
      <c r="W152">
        <v>72.87</v>
      </c>
      <c r="X152">
        <v>13727</v>
      </c>
      <c r="Y152">
        <v>16821</v>
      </c>
      <c r="Z152">
        <v>12733</v>
      </c>
      <c r="AA152">
        <v>15086</v>
      </c>
      <c r="AB152" t="s">
        <v>63</v>
      </c>
      <c r="AN152" s="3">
        <v>197</v>
      </c>
      <c r="AO152">
        <v>4752</v>
      </c>
      <c r="AQ152" s="6">
        <v>177</v>
      </c>
      <c r="AR152" s="5">
        <v>10048.799999999999</v>
      </c>
    </row>
    <row r="153" spans="1:44" x14ac:dyDescent="0.3">
      <c r="A153">
        <v>1151</v>
      </c>
      <c r="B153" t="s">
        <v>60</v>
      </c>
      <c r="C153" t="s">
        <v>29</v>
      </c>
      <c r="D153" t="s">
        <v>61</v>
      </c>
      <c r="E153" t="s">
        <v>62</v>
      </c>
      <c r="F153" t="s">
        <v>32</v>
      </c>
      <c r="G153" s="1">
        <v>46164</v>
      </c>
      <c r="H153" t="s">
        <v>54</v>
      </c>
      <c r="I153" t="s">
        <v>69</v>
      </c>
      <c r="J153" t="s">
        <v>70</v>
      </c>
      <c r="K153" t="s">
        <v>36</v>
      </c>
      <c r="L153">
        <v>13</v>
      </c>
      <c r="M153">
        <v>4381</v>
      </c>
      <c r="N153">
        <v>3175.57</v>
      </c>
      <c r="O153">
        <v>1205.43</v>
      </c>
      <c r="P153">
        <v>58</v>
      </c>
      <c r="Q153">
        <v>4</v>
      </c>
      <c r="R153">
        <v>10</v>
      </c>
      <c r="S153" t="s">
        <v>64</v>
      </c>
      <c r="T153" t="s">
        <v>38</v>
      </c>
      <c r="U153" t="s">
        <v>74</v>
      </c>
      <c r="V153">
        <v>13.08</v>
      </c>
      <c r="W153">
        <v>80.27</v>
      </c>
      <c r="X153">
        <v>5822</v>
      </c>
      <c r="Y153">
        <v>8093</v>
      </c>
      <c r="Z153">
        <v>4885</v>
      </c>
      <c r="AA153">
        <v>7816</v>
      </c>
      <c r="AB153" t="s">
        <v>63</v>
      </c>
      <c r="AN153" s="3">
        <v>198</v>
      </c>
      <c r="AO153">
        <v>9064.6666666666661</v>
      </c>
      <c r="AQ153" s="6">
        <v>179</v>
      </c>
      <c r="AR153" s="5">
        <v>4672</v>
      </c>
    </row>
    <row r="154" spans="1:44" x14ac:dyDescent="0.3">
      <c r="A154">
        <v>1152</v>
      </c>
      <c r="B154" t="s">
        <v>60</v>
      </c>
      <c r="C154" t="s">
        <v>29</v>
      </c>
      <c r="D154" t="s">
        <v>61</v>
      </c>
      <c r="E154" t="s">
        <v>62</v>
      </c>
      <c r="F154" t="s">
        <v>32</v>
      </c>
      <c r="G154" s="1">
        <v>46060</v>
      </c>
      <c r="H154" t="s">
        <v>33</v>
      </c>
      <c r="I154" t="s">
        <v>34</v>
      </c>
      <c r="J154" t="s">
        <v>77</v>
      </c>
      <c r="K154" t="s">
        <v>47</v>
      </c>
      <c r="L154">
        <v>5</v>
      </c>
      <c r="M154">
        <v>1700</v>
      </c>
      <c r="N154">
        <v>1034.93</v>
      </c>
      <c r="O154">
        <v>665.07</v>
      </c>
      <c r="P154">
        <v>140</v>
      </c>
      <c r="Q154">
        <v>5</v>
      </c>
      <c r="R154">
        <v>0</v>
      </c>
      <c r="S154" t="s">
        <v>64</v>
      </c>
      <c r="T154" t="s">
        <v>76</v>
      </c>
      <c r="U154" t="s">
        <v>74</v>
      </c>
      <c r="V154">
        <v>13.08</v>
      </c>
      <c r="W154">
        <v>80.27</v>
      </c>
      <c r="X154">
        <v>5568</v>
      </c>
      <c r="Y154">
        <v>8724</v>
      </c>
      <c r="Z154">
        <v>4375</v>
      </c>
      <c r="AA154">
        <v>8214</v>
      </c>
      <c r="AB154" t="s">
        <v>63</v>
      </c>
      <c r="AN154" s="3">
        <v>199</v>
      </c>
      <c r="AO154">
        <v>10950</v>
      </c>
      <c r="AQ154" s="6">
        <v>180</v>
      </c>
      <c r="AR154" s="5">
        <v>7766</v>
      </c>
    </row>
    <row r="155" spans="1:44" x14ac:dyDescent="0.3">
      <c r="A155">
        <v>1153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s="1">
        <v>46073</v>
      </c>
      <c r="H155" t="s">
        <v>33</v>
      </c>
      <c r="I155" t="s">
        <v>57</v>
      </c>
      <c r="J155" t="s">
        <v>58</v>
      </c>
      <c r="K155" t="s">
        <v>78</v>
      </c>
      <c r="L155">
        <v>51</v>
      </c>
      <c r="M155">
        <v>13617</v>
      </c>
      <c r="N155">
        <v>10474.43</v>
      </c>
      <c r="O155">
        <v>3142.57</v>
      </c>
      <c r="P155">
        <v>212</v>
      </c>
      <c r="Q155">
        <v>4.3</v>
      </c>
      <c r="R155">
        <v>5</v>
      </c>
      <c r="S155" t="s">
        <v>64</v>
      </c>
      <c r="T155" t="s">
        <v>76</v>
      </c>
      <c r="U155" t="s">
        <v>55</v>
      </c>
      <c r="V155">
        <v>12.97</v>
      </c>
      <c r="W155">
        <v>77.59</v>
      </c>
      <c r="X155">
        <v>6885</v>
      </c>
      <c r="Y155">
        <v>10630</v>
      </c>
      <c r="Z155">
        <v>5169</v>
      </c>
      <c r="AA155">
        <v>6654</v>
      </c>
      <c r="AB155" t="s">
        <v>63</v>
      </c>
      <c r="AN155" s="3">
        <v>200</v>
      </c>
      <c r="AO155">
        <v>6916.5</v>
      </c>
      <c r="AQ155" s="6">
        <v>181</v>
      </c>
      <c r="AR155" s="5">
        <v>10199.666666666666</v>
      </c>
    </row>
    <row r="156" spans="1:44" x14ac:dyDescent="0.3">
      <c r="A156">
        <v>1154</v>
      </c>
      <c r="B156" t="s">
        <v>50</v>
      </c>
      <c r="C156" t="s">
        <v>29</v>
      </c>
      <c r="D156" t="s">
        <v>51</v>
      </c>
      <c r="E156" t="s">
        <v>52</v>
      </c>
      <c r="F156" t="s">
        <v>53</v>
      </c>
      <c r="G156" s="1">
        <v>46089</v>
      </c>
      <c r="H156" t="s">
        <v>71</v>
      </c>
      <c r="I156" t="s">
        <v>80</v>
      </c>
      <c r="J156" t="s">
        <v>82</v>
      </c>
      <c r="K156" t="s">
        <v>47</v>
      </c>
      <c r="L156">
        <v>46</v>
      </c>
      <c r="M156">
        <v>13938</v>
      </c>
      <c r="N156">
        <v>8813.7900000000009</v>
      </c>
      <c r="O156">
        <v>5124.21</v>
      </c>
      <c r="P156">
        <v>260</v>
      </c>
      <c r="Q156">
        <v>3.8</v>
      </c>
      <c r="R156">
        <v>15</v>
      </c>
      <c r="S156" t="s">
        <v>48</v>
      </c>
      <c r="T156" t="s">
        <v>49</v>
      </c>
      <c r="U156" t="s">
        <v>39</v>
      </c>
      <c r="V156">
        <v>19.07</v>
      </c>
      <c r="W156">
        <v>72.87</v>
      </c>
      <c r="X156">
        <v>9298</v>
      </c>
      <c r="Y156">
        <v>12698</v>
      </c>
      <c r="Z156">
        <v>7638</v>
      </c>
      <c r="AA156">
        <v>8900</v>
      </c>
      <c r="AB156" t="s">
        <v>56</v>
      </c>
      <c r="AN156" s="3">
        <v>201</v>
      </c>
      <c r="AO156">
        <v>7882.666666666667</v>
      </c>
      <c r="AQ156" s="6">
        <v>183</v>
      </c>
      <c r="AR156" s="5">
        <v>8566.5</v>
      </c>
    </row>
    <row r="157" spans="1:44" x14ac:dyDescent="0.3">
      <c r="A157">
        <v>1155</v>
      </c>
      <c r="B157" t="s">
        <v>65</v>
      </c>
      <c r="C157" t="s">
        <v>29</v>
      </c>
      <c r="D157" t="s">
        <v>66</v>
      </c>
      <c r="E157" t="s">
        <v>67</v>
      </c>
      <c r="F157" t="s">
        <v>32</v>
      </c>
      <c r="G157" s="1">
        <v>46111</v>
      </c>
      <c r="H157" t="s">
        <v>71</v>
      </c>
      <c r="I157" t="s">
        <v>57</v>
      </c>
      <c r="J157" t="s">
        <v>58</v>
      </c>
      <c r="K157" t="s">
        <v>36</v>
      </c>
      <c r="L157">
        <v>10</v>
      </c>
      <c r="M157">
        <v>2470</v>
      </c>
      <c r="N157">
        <v>1835.78</v>
      </c>
      <c r="O157">
        <v>634.22</v>
      </c>
      <c r="P157">
        <v>42</v>
      </c>
      <c r="Q157">
        <v>4</v>
      </c>
      <c r="R157">
        <v>0</v>
      </c>
      <c r="S157" t="s">
        <v>64</v>
      </c>
      <c r="T157" t="s">
        <v>76</v>
      </c>
      <c r="U157" t="s">
        <v>55</v>
      </c>
      <c r="V157">
        <v>9.93</v>
      </c>
      <c r="W157">
        <v>76.260000000000005</v>
      </c>
      <c r="X157">
        <v>14533</v>
      </c>
      <c r="Y157">
        <v>17842</v>
      </c>
      <c r="Z157">
        <v>12750</v>
      </c>
      <c r="AA157">
        <v>13541</v>
      </c>
      <c r="AB157" t="s">
        <v>56</v>
      </c>
      <c r="AN157" s="3">
        <v>202</v>
      </c>
      <c r="AO157">
        <v>11073.666666666666</v>
      </c>
      <c r="AQ157" s="6">
        <v>184</v>
      </c>
      <c r="AR157" s="5">
        <v>5970</v>
      </c>
    </row>
    <row r="158" spans="1:44" x14ac:dyDescent="0.3">
      <c r="A158">
        <v>1156</v>
      </c>
      <c r="B158" t="s">
        <v>50</v>
      </c>
      <c r="C158" t="s">
        <v>29</v>
      </c>
      <c r="D158" t="s">
        <v>51</v>
      </c>
      <c r="E158" t="s">
        <v>52</v>
      </c>
      <c r="F158" t="s">
        <v>53</v>
      </c>
      <c r="G158" s="1">
        <v>46031</v>
      </c>
      <c r="H158" t="s">
        <v>45</v>
      </c>
      <c r="I158" t="s">
        <v>69</v>
      </c>
      <c r="J158" t="s">
        <v>72</v>
      </c>
      <c r="K158" t="s">
        <v>73</v>
      </c>
      <c r="L158">
        <v>47</v>
      </c>
      <c r="M158">
        <v>13583</v>
      </c>
      <c r="N158">
        <v>10235.93</v>
      </c>
      <c r="O158">
        <v>3347.07</v>
      </c>
      <c r="P158">
        <v>279</v>
      </c>
      <c r="Q158">
        <v>4.4000000000000004</v>
      </c>
      <c r="R158">
        <v>15</v>
      </c>
      <c r="S158" t="s">
        <v>37</v>
      </c>
      <c r="T158" t="s">
        <v>38</v>
      </c>
      <c r="U158" t="s">
        <v>39</v>
      </c>
      <c r="V158">
        <v>19.07</v>
      </c>
      <c r="W158">
        <v>72.87</v>
      </c>
      <c r="X158">
        <v>5386</v>
      </c>
      <c r="Y158">
        <v>6414</v>
      </c>
      <c r="Z158">
        <v>3511</v>
      </c>
      <c r="AA158">
        <v>3735</v>
      </c>
      <c r="AB158" t="s">
        <v>63</v>
      </c>
      <c r="AN158" s="3">
        <v>203</v>
      </c>
      <c r="AO158">
        <v>9686.75</v>
      </c>
      <c r="AQ158" s="6">
        <v>185</v>
      </c>
      <c r="AR158" s="5">
        <v>8689.75</v>
      </c>
    </row>
    <row r="159" spans="1:44" x14ac:dyDescent="0.3">
      <c r="A159">
        <v>1157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s="1">
        <v>46051</v>
      </c>
      <c r="H159" t="s">
        <v>45</v>
      </c>
      <c r="I159" t="s">
        <v>80</v>
      </c>
      <c r="J159" t="s">
        <v>81</v>
      </c>
      <c r="K159" t="s">
        <v>73</v>
      </c>
      <c r="L159">
        <v>60</v>
      </c>
      <c r="M159">
        <v>16020</v>
      </c>
      <c r="N159">
        <v>10237.41</v>
      </c>
      <c r="O159">
        <v>5782.59</v>
      </c>
      <c r="P159">
        <v>273</v>
      </c>
      <c r="Q159">
        <v>3.6</v>
      </c>
      <c r="R159">
        <v>15</v>
      </c>
      <c r="S159" t="s">
        <v>48</v>
      </c>
      <c r="T159" t="s">
        <v>76</v>
      </c>
      <c r="U159" t="s">
        <v>74</v>
      </c>
      <c r="V159">
        <v>12.97</v>
      </c>
      <c r="W159">
        <v>77.59</v>
      </c>
      <c r="X159">
        <v>13388</v>
      </c>
      <c r="Y159">
        <v>16105</v>
      </c>
      <c r="Z159">
        <v>11913</v>
      </c>
      <c r="AA159">
        <v>12044</v>
      </c>
      <c r="AB159" t="s">
        <v>79</v>
      </c>
      <c r="AN159" s="3">
        <v>204</v>
      </c>
      <c r="AO159">
        <v>13500</v>
      </c>
      <c r="AQ159" s="6">
        <v>187</v>
      </c>
      <c r="AR159" s="5">
        <v>14894.6</v>
      </c>
    </row>
    <row r="160" spans="1:44" x14ac:dyDescent="0.3">
      <c r="A160">
        <v>1158</v>
      </c>
      <c r="B160" t="s">
        <v>41</v>
      </c>
      <c r="C160" t="s">
        <v>29</v>
      </c>
      <c r="D160" t="s">
        <v>42</v>
      </c>
      <c r="E160" t="s">
        <v>43</v>
      </c>
      <c r="F160" t="s">
        <v>44</v>
      </c>
      <c r="G160" s="1">
        <v>46105</v>
      </c>
      <c r="H160" t="s">
        <v>71</v>
      </c>
      <c r="I160" t="s">
        <v>34</v>
      </c>
      <c r="J160" t="s">
        <v>46</v>
      </c>
      <c r="K160" t="s">
        <v>59</v>
      </c>
      <c r="L160">
        <v>31</v>
      </c>
      <c r="M160">
        <v>10819</v>
      </c>
      <c r="N160">
        <v>7316.19</v>
      </c>
      <c r="O160">
        <v>3502.81</v>
      </c>
      <c r="P160">
        <v>257</v>
      </c>
      <c r="Q160">
        <v>4</v>
      </c>
      <c r="R160">
        <v>0</v>
      </c>
      <c r="S160" t="s">
        <v>48</v>
      </c>
      <c r="T160" t="s">
        <v>38</v>
      </c>
      <c r="U160" t="s">
        <v>74</v>
      </c>
      <c r="V160">
        <v>28.61</v>
      </c>
      <c r="W160">
        <v>77.2</v>
      </c>
      <c r="X160">
        <v>7020</v>
      </c>
      <c r="Y160">
        <v>9724</v>
      </c>
      <c r="Z160">
        <v>6143</v>
      </c>
      <c r="AA160">
        <v>6367</v>
      </c>
      <c r="AB160" t="s">
        <v>79</v>
      </c>
      <c r="AN160" s="3">
        <v>206</v>
      </c>
      <c r="AO160">
        <v>10792</v>
      </c>
      <c r="AQ160" s="6">
        <v>188</v>
      </c>
      <c r="AR160" s="5">
        <v>8370</v>
      </c>
    </row>
    <row r="161" spans="1:44" x14ac:dyDescent="0.3">
      <c r="A161">
        <v>1159</v>
      </c>
      <c r="B161" t="s">
        <v>41</v>
      </c>
      <c r="C161" t="s">
        <v>29</v>
      </c>
      <c r="D161" t="s">
        <v>42</v>
      </c>
      <c r="E161" t="s">
        <v>43</v>
      </c>
      <c r="F161" t="s">
        <v>44</v>
      </c>
      <c r="G161" s="1">
        <v>46036</v>
      </c>
      <c r="H161" t="s">
        <v>45</v>
      </c>
      <c r="I161" t="s">
        <v>57</v>
      </c>
      <c r="J161" t="s">
        <v>58</v>
      </c>
      <c r="K161" t="s">
        <v>47</v>
      </c>
      <c r="L161">
        <v>57</v>
      </c>
      <c r="M161">
        <v>16245</v>
      </c>
      <c r="N161">
        <v>12176.59</v>
      </c>
      <c r="O161">
        <v>4068.41</v>
      </c>
      <c r="P161">
        <v>78</v>
      </c>
      <c r="Q161">
        <v>3.6</v>
      </c>
      <c r="R161">
        <v>15</v>
      </c>
      <c r="S161" t="s">
        <v>64</v>
      </c>
      <c r="T161" t="s">
        <v>76</v>
      </c>
      <c r="U161" t="s">
        <v>55</v>
      </c>
      <c r="V161">
        <v>28.61</v>
      </c>
      <c r="W161">
        <v>77.2</v>
      </c>
      <c r="X161">
        <v>11268</v>
      </c>
      <c r="Y161">
        <v>15998</v>
      </c>
      <c r="Z161">
        <v>10524</v>
      </c>
      <c r="AA161">
        <v>14763</v>
      </c>
      <c r="AB161" t="s">
        <v>63</v>
      </c>
      <c r="AN161" s="3">
        <v>208</v>
      </c>
      <c r="AO161">
        <v>12829</v>
      </c>
      <c r="AQ161" s="6">
        <v>189</v>
      </c>
      <c r="AR161" s="5">
        <v>12977</v>
      </c>
    </row>
    <row r="162" spans="1:44" x14ac:dyDescent="0.3">
      <c r="A162">
        <v>1160</v>
      </c>
      <c r="B162" t="s">
        <v>65</v>
      </c>
      <c r="C162" t="s">
        <v>29</v>
      </c>
      <c r="D162" t="s">
        <v>66</v>
      </c>
      <c r="E162" t="s">
        <v>67</v>
      </c>
      <c r="F162" t="s">
        <v>32</v>
      </c>
      <c r="G162" s="1">
        <v>46108</v>
      </c>
      <c r="H162" t="s">
        <v>71</v>
      </c>
      <c r="I162" t="s">
        <v>34</v>
      </c>
      <c r="J162" t="s">
        <v>77</v>
      </c>
      <c r="K162" t="s">
        <v>78</v>
      </c>
      <c r="L162">
        <v>42</v>
      </c>
      <c r="M162">
        <v>13482</v>
      </c>
      <c r="N162">
        <v>9764.4699999999993</v>
      </c>
      <c r="O162">
        <v>3717.53</v>
      </c>
      <c r="P162">
        <v>187</v>
      </c>
      <c r="Q162">
        <v>4.5999999999999996</v>
      </c>
      <c r="R162">
        <v>15</v>
      </c>
      <c r="S162" t="s">
        <v>48</v>
      </c>
      <c r="T162" t="s">
        <v>76</v>
      </c>
      <c r="U162" t="s">
        <v>39</v>
      </c>
      <c r="V162">
        <v>9.93</v>
      </c>
      <c r="W162">
        <v>76.260000000000005</v>
      </c>
      <c r="X162">
        <v>13564</v>
      </c>
      <c r="Y162">
        <v>15886</v>
      </c>
      <c r="Z162">
        <v>11695</v>
      </c>
      <c r="AA162">
        <v>13815</v>
      </c>
      <c r="AB162" t="s">
        <v>63</v>
      </c>
      <c r="AN162" s="3">
        <v>209</v>
      </c>
      <c r="AO162">
        <v>17986</v>
      </c>
      <c r="AQ162" s="6">
        <v>190</v>
      </c>
      <c r="AR162" s="5">
        <v>2964</v>
      </c>
    </row>
    <row r="163" spans="1:44" x14ac:dyDescent="0.3">
      <c r="A163">
        <v>1161</v>
      </c>
      <c r="B163" t="s">
        <v>65</v>
      </c>
      <c r="C163" t="s">
        <v>29</v>
      </c>
      <c r="D163" t="s">
        <v>66</v>
      </c>
      <c r="E163" t="s">
        <v>67</v>
      </c>
      <c r="F163" t="s">
        <v>32</v>
      </c>
      <c r="G163" s="1">
        <v>46137</v>
      </c>
      <c r="H163" t="s">
        <v>75</v>
      </c>
      <c r="I163" t="s">
        <v>69</v>
      </c>
      <c r="J163" t="s">
        <v>72</v>
      </c>
      <c r="K163" t="s">
        <v>78</v>
      </c>
      <c r="L163">
        <v>16</v>
      </c>
      <c r="M163">
        <v>3632</v>
      </c>
      <c r="N163">
        <v>2139.61</v>
      </c>
      <c r="O163">
        <v>1492.39</v>
      </c>
      <c r="P163">
        <v>174</v>
      </c>
      <c r="Q163">
        <v>4.0999999999999996</v>
      </c>
      <c r="R163">
        <v>10</v>
      </c>
      <c r="S163" t="s">
        <v>37</v>
      </c>
      <c r="T163" t="s">
        <v>76</v>
      </c>
      <c r="U163" t="s">
        <v>55</v>
      </c>
      <c r="V163">
        <v>9.93</v>
      </c>
      <c r="W163">
        <v>76.260000000000005</v>
      </c>
      <c r="X163">
        <v>7400</v>
      </c>
      <c r="Y163">
        <v>11914</v>
      </c>
      <c r="Z163">
        <v>6414</v>
      </c>
      <c r="AA163">
        <v>8701</v>
      </c>
      <c r="AB163" t="s">
        <v>63</v>
      </c>
      <c r="AN163" s="3">
        <v>210</v>
      </c>
      <c r="AO163">
        <v>4202</v>
      </c>
      <c r="AQ163" s="6">
        <v>191</v>
      </c>
      <c r="AR163" s="5">
        <v>6936.333333333333</v>
      </c>
    </row>
    <row r="164" spans="1:44" x14ac:dyDescent="0.3">
      <c r="A164">
        <v>1162</v>
      </c>
      <c r="B164" t="s">
        <v>50</v>
      </c>
      <c r="C164" t="s">
        <v>29</v>
      </c>
      <c r="D164" t="s">
        <v>51</v>
      </c>
      <c r="E164" t="s">
        <v>52</v>
      </c>
      <c r="F164" t="s">
        <v>53</v>
      </c>
      <c r="G164" s="1">
        <v>46041</v>
      </c>
      <c r="H164" t="s">
        <v>45</v>
      </c>
      <c r="I164" t="s">
        <v>57</v>
      </c>
      <c r="J164" t="s">
        <v>58</v>
      </c>
      <c r="K164" t="s">
        <v>47</v>
      </c>
      <c r="L164">
        <v>36</v>
      </c>
      <c r="M164">
        <v>14220</v>
      </c>
      <c r="N164">
        <v>10821.4</v>
      </c>
      <c r="O164">
        <v>3398.6</v>
      </c>
      <c r="P164">
        <v>95</v>
      </c>
      <c r="Q164">
        <v>4.3</v>
      </c>
      <c r="R164">
        <v>5</v>
      </c>
      <c r="S164" t="s">
        <v>48</v>
      </c>
      <c r="T164" t="s">
        <v>76</v>
      </c>
      <c r="U164" t="s">
        <v>74</v>
      </c>
      <c r="V164">
        <v>19.07</v>
      </c>
      <c r="W164">
        <v>72.87</v>
      </c>
      <c r="X164">
        <v>14169</v>
      </c>
      <c r="Y164">
        <v>17151</v>
      </c>
      <c r="Z164">
        <v>13387</v>
      </c>
      <c r="AA164">
        <v>16702</v>
      </c>
      <c r="AB164" t="s">
        <v>40</v>
      </c>
      <c r="AN164" s="3">
        <v>212</v>
      </c>
      <c r="AO164">
        <v>11867</v>
      </c>
      <c r="AQ164" s="6">
        <v>192</v>
      </c>
      <c r="AR164" s="5">
        <v>12200</v>
      </c>
    </row>
    <row r="165" spans="1:44" x14ac:dyDescent="0.3">
      <c r="A165">
        <v>1163</v>
      </c>
      <c r="B165" t="s">
        <v>50</v>
      </c>
      <c r="C165" t="s">
        <v>29</v>
      </c>
      <c r="D165" t="s">
        <v>51</v>
      </c>
      <c r="E165" t="s">
        <v>52</v>
      </c>
      <c r="F165" t="s">
        <v>53</v>
      </c>
      <c r="G165" s="1">
        <v>46201</v>
      </c>
      <c r="H165" t="s">
        <v>68</v>
      </c>
      <c r="I165" t="s">
        <v>80</v>
      </c>
      <c r="J165" t="s">
        <v>81</v>
      </c>
      <c r="K165" t="s">
        <v>73</v>
      </c>
      <c r="L165">
        <v>57</v>
      </c>
      <c r="M165">
        <v>14763</v>
      </c>
      <c r="N165">
        <v>9888.7199999999993</v>
      </c>
      <c r="O165">
        <v>4874.28</v>
      </c>
      <c r="P165">
        <v>104</v>
      </c>
      <c r="Q165">
        <v>4.3</v>
      </c>
      <c r="R165">
        <v>10</v>
      </c>
      <c r="S165" t="s">
        <v>48</v>
      </c>
      <c r="T165" t="s">
        <v>49</v>
      </c>
      <c r="U165" t="s">
        <v>39</v>
      </c>
      <c r="V165">
        <v>19.07</v>
      </c>
      <c r="W165">
        <v>72.87</v>
      </c>
      <c r="X165">
        <v>9363</v>
      </c>
      <c r="Y165">
        <v>10438</v>
      </c>
      <c r="Z165">
        <v>8337</v>
      </c>
      <c r="AA165">
        <v>9034</v>
      </c>
      <c r="AB165" t="s">
        <v>63</v>
      </c>
      <c r="AN165" s="3">
        <v>213</v>
      </c>
      <c r="AO165">
        <v>7958.666666666667</v>
      </c>
      <c r="AQ165" s="6">
        <v>193</v>
      </c>
      <c r="AR165" s="5">
        <v>6174</v>
      </c>
    </row>
    <row r="166" spans="1:44" x14ac:dyDescent="0.3">
      <c r="A166">
        <v>1164</v>
      </c>
      <c r="B166" t="s">
        <v>50</v>
      </c>
      <c r="C166" t="s">
        <v>29</v>
      </c>
      <c r="D166" t="s">
        <v>51</v>
      </c>
      <c r="E166" t="s">
        <v>52</v>
      </c>
      <c r="F166" t="s">
        <v>53</v>
      </c>
      <c r="G166" s="1">
        <v>46193</v>
      </c>
      <c r="H166" t="s">
        <v>68</v>
      </c>
      <c r="I166" t="s">
        <v>34</v>
      </c>
      <c r="J166" t="s">
        <v>77</v>
      </c>
      <c r="K166" t="s">
        <v>59</v>
      </c>
      <c r="L166">
        <v>38</v>
      </c>
      <c r="M166">
        <v>9348</v>
      </c>
      <c r="N166">
        <v>7032.8</v>
      </c>
      <c r="O166">
        <v>2315.1999999999998</v>
      </c>
      <c r="P166">
        <v>98</v>
      </c>
      <c r="Q166">
        <v>4.2</v>
      </c>
      <c r="R166">
        <v>15</v>
      </c>
      <c r="S166" t="s">
        <v>48</v>
      </c>
      <c r="T166" t="s">
        <v>76</v>
      </c>
      <c r="U166" t="s">
        <v>39</v>
      </c>
      <c r="V166">
        <v>19.07</v>
      </c>
      <c r="W166">
        <v>72.87</v>
      </c>
      <c r="X166">
        <v>14263</v>
      </c>
      <c r="Y166">
        <v>16080</v>
      </c>
      <c r="Z166">
        <v>13731</v>
      </c>
      <c r="AA166">
        <v>14776</v>
      </c>
      <c r="AB166" t="s">
        <v>63</v>
      </c>
      <c r="AN166" s="3">
        <v>214</v>
      </c>
      <c r="AO166">
        <v>7623</v>
      </c>
      <c r="AQ166" s="6">
        <v>194</v>
      </c>
      <c r="AR166" s="5">
        <v>15319.666666666666</v>
      </c>
    </row>
    <row r="167" spans="1:44" x14ac:dyDescent="0.3">
      <c r="A167">
        <v>1165</v>
      </c>
      <c r="B167" t="s">
        <v>50</v>
      </c>
      <c r="C167" t="s">
        <v>29</v>
      </c>
      <c r="D167" t="s">
        <v>51</v>
      </c>
      <c r="E167" t="s">
        <v>52</v>
      </c>
      <c r="F167" t="s">
        <v>53</v>
      </c>
      <c r="G167" s="1">
        <v>46184</v>
      </c>
      <c r="H167" t="s">
        <v>68</v>
      </c>
      <c r="I167" t="s">
        <v>69</v>
      </c>
      <c r="J167" t="s">
        <v>70</v>
      </c>
      <c r="K167" t="s">
        <v>36</v>
      </c>
      <c r="L167">
        <v>50</v>
      </c>
      <c r="M167">
        <v>13150</v>
      </c>
      <c r="N167">
        <v>10503.14</v>
      </c>
      <c r="O167">
        <v>2646.86</v>
      </c>
      <c r="P167">
        <v>132</v>
      </c>
      <c r="Q167">
        <v>3.6</v>
      </c>
      <c r="R167">
        <v>5</v>
      </c>
      <c r="S167" t="s">
        <v>64</v>
      </c>
      <c r="T167" t="s">
        <v>76</v>
      </c>
      <c r="U167" t="s">
        <v>39</v>
      </c>
      <c r="V167">
        <v>19.07</v>
      </c>
      <c r="W167">
        <v>72.87</v>
      </c>
      <c r="X167">
        <v>11891</v>
      </c>
      <c r="Y167">
        <v>16036</v>
      </c>
      <c r="Z167">
        <v>11139</v>
      </c>
      <c r="AA167">
        <v>13397</v>
      </c>
      <c r="AB167" t="s">
        <v>79</v>
      </c>
      <c r="AN167" s="3">
        <v>215</v>
      </c>
      <c r="AO167">
        <v>12980</v>
      </c>
      <c r="AQ167" s="6">
        <v>195</v>
      </c>
      <c r="AR167" s="5">
        <v>13614.333333333334</v>
      </c>
    </row>
    <row r="168" spans="1:44" x14ac:dyDescent="0.3">
      <c r="A168">
        <v>1166</v>
      </c>
      <c r="B168" t="s">
        <v>65</v>
      </c>
      <c r="C168" t="s">
        <v>29</v>
      </c>
      <c r="D168" t="s">
        <v>66</v>
      </c>
      <c r="E168" t="s">
        <v>67</v>
      </c>
      <c r="F168" t="s">
        <v>32</v>
      </c>
      <c r="G168" s="1">
        <v>46053</v>
      </c>
      <c r="H168" t="s">
        <v>45</v>
      </c>
      <c r="I168" t="s">
        <v>69</v>
      </c>
      <c r="J168" t="s">
        <v>70</v>
      </c>
      <c r="K168" t="s">
        <v>78</v>
      </c>
      <c r="L168">
        <v>52</v>
      </c>
      <c r="M168">
        <v>9620</v>
      </c>
      <c r="N168">
        <v>5305.63</v>
      </c>
      <c r="O168">
        <v>4314.37</v>
      </c>
      <c r="P168">
        <v>87</v>
      </c>
      <c r="Q168">
        <v>3.7</v>
      </c>
      <c r="R168">
        <v>15</v>
      </c>
      <c r="S168" t="s">
        <v>48</v>
      </c>
      <c r="T168" t="s">
        <v>38</v>
      </c>
      <c r="U168" t="s">
        <v>55</v>
      </c>
      <c r="V168">
        <v>9.93</v>
      </c>
      <c r="W168">
        <v>76.260000000000005</v>
      </c>
      <c r="X168">
        <v>5970</v>
      </c>
      <c r="Y168">
        <v>10015</v>
      </c>
      <c r="Z168">
        <v>5319</v>
      </c>
      <c r="AA168">
        <v>9927</v>
      </c>
      <c r="AB168" t="s">
        <v>79</v>
      </c>
      <c r="AN168" s="3">
        <v>216</v>
      </c>
      <c r="AO168">
        <v>12989.333333333334</v>
      </c>
      <c r="AQ168" s="6">
        <v>197</v>
      </c>
      <c r="AR168" s="5">
        <v>4752</v>
      </c>
    </row>
    <row r="169" spans="1:44" x14ac:dyDescent="0.3">
      <c r="A169">
        <v>1167</v>
      </c>
      <c r="B169" t="s">
        <v>60</v>
      </c>
      <c r="C169" t="s">
        <v>29</v>
      </c>
      <c r="D169" t="s">
        <v>61</v>
      </c>
      <c r="E169" t="s">
        <v>62</v>
      </c>
      <c r="F169" t="s">
        <v>32</v>
      </c>
      <c r="G169" s="1">
        <v>46056</v>
      </c>
      <c r="H169" t="s">
        <v>33</v>
      </c>
      <c r="I169" t="s">
        <v>69</v>
      </c>
      <c r="J169" t="s">
        <v>72</v>
      </c>
      <c r="K169" t="s">
        <v>36</v>
      </c>
      <c r="L169">
        <v>28</v>
      </c>
      <c r="M169">
        <v>5600</v>
      </c>
      <c r="N169">
        <v>4082.48</v>
      </c>
      <c r="O169">
        <v>1517.52</v>
      </c>
      <c r="P169">
        <v>154</v>
      </c>
      <c r="Q169">
        <v>3.7</v>
      </c>
      <c r="R169">
        <v>5</v>
      </c>
      <c r="S169" t="s">
        <v>64</v>
      </c>
      <c r="T169" t="s">
        <v>76</v>
      </c>
      <c r="U169" t="s">
        <v>74</v>
      </c>
      <c r="V169">
        <v>13.08</v>
      </c>
      <c r="W169">
        <v>80.27</v>
      </c>
      <c r="X169">
        <v>12066</v>
      </c>
      <c r="Y169">
        <v>15189</v>
      </c>
      <c r="Z169">
        <v>11126</v>
      </c>
      <c r="AA169">
        <v>14090</v>
      </c>
      <c r="AB169" t="s">
        <v>56</v>
      </c>
      <c r="AN169" s="3">
        <v>217</v>
      </c>
      <c r="AO169">
        <v>10817</v>
      </c>
      <c r="AQ169" s="6">
        <v>198</v>
      </c>
      <c r="AR169" s="5">
        <v>9064.6666666666661</v>
      </c>
    </row>
    <row r="170" spans="1:44" x14ac:dyDescent="0.3">
      <c r="A170">
        <v>1168</v>
      </c>
      <c r="B170" t="s">
        <v>50</v>
      </c>
      <c r="C170" t="s">
        <v>29</v>
      </c>
      <c r="D170" t="s">
        <v>51</v>
      </c>
      <c r="E170" t="s">
        <v>52</v>
      </c>
      <c r="F170" t="s">
        <v>53</v>
      </c>
      <c r="G170" s="1">
        <v>46159</v>
      </c>
      <c r="H170" t="s">
        <v>54</v>
      </c>
      <c r="I170" t="s">
        <v>34</v>
      </c>
      <c r="J170" t="s">
        <v>77</v>
      </c>
      <c r="K170" t="s">
        <v>78</v>
      </c>
      <c r="L170">
        <v>41</v>
      </c>
      <c r="M170">
        <v>11644</v>
      </c>
      <c r="N170">
        <v>6446.79</v>
      </c>
      <c r="O170">
        <v>5197.21</v>
      </c>
      <c r="P170">
        <v>171</v>
      </c>
      <c r="Q170">
        <v>4.9000000000000004</v>
      </c>
      <c r="R170">
        <v>5</v>
      </c>
      <c r="S170" t="s">
        <v>37</v>
      </c>
      <c r="T170" t="s">
        <v>49</v>
      </c>
      <c r="U170" t="s">
        <v>39</v>
      </c>
      <c r="V170">
        <v>19.07</v>
      </c>
      <c r="W170">
        <v>72.87</v>
      </c>
      <c r="X170">
        <v>12623</v>
      </c>
      <c r="Y170">
        <v>15657</v>
      </c>
      <c r="Z170">
        <v>11263</v>
      </c>
      <c r="AA170">
        <v>14573</v>
      </c>
      <c r="AB170" t="s">
        <v>56</v>
      </c>
      <c r="AN170" s="3">
        <v>218</v>
      </c>
      <c r="AO170">
        <v>9990</v>
      </c>
      <c r="AQ170" s="6">
        <v>199</v>
      </c>
      <c r="AR170" s="5">
        <v>10950</v>
      </c>
    </row>
    <row r="171" spans="1:44" x14ac:dyDescent="0.3">
      <c r="A171">
        <v>1169</v>
      </c>
      <c r="B171" t="s">
        <v>50</v>
      </c>
      <c r="C171" t="s">
        <v>29</v>
      </c>
      <c r="D171" t="s">
        <v>51</v>
      </c>
      <c r="E171" t="s">
        <v>52</v>
      </c>
      <c r="F171" t="s">
        <v>53</v>
      </c>
      <c r="G171" s="1">
        <v>46199</v>
      </c>
      <c r="H171" t="s">
        <v>68</v>
      </c>
      <c r="I171" t="s">
        <v>57</v>
      </c>
      <c r="J171" t="s">
        <v>58</v>
      </c>
      <c r="K171" t="s">
        <v>36</v>
      </c>
      <c r="L171">
        <v>43</v>
      </c>
      <c r="M171">
        <v>17286</v>
      </c>
      <c r="N171">
        <v>9540.36</v>
      </c>
      <c r="O171">
        <v>7745.64</v>
      </c>
      <c r="P171">
        <v>115</v>
      </c>
      <c r="Q171">
        <v>4.2</v>
      </c>
      <c r="R171">
        <v>15</v>
      </c>
      <c r="S171" t="s">
        <v>64</v>
      </c>
      <c r="T171" t="s">
        <v>76</v>
      </c>
      <c r="U171" t="s">
        <v>74</v>
      </c>
      <c r="V171">
        <v>19.07</v>
      </c>
      <c r="W171">
        <v>72.87</v>
      </c>
      <c r="X171">
        <v>10239</v>
      </c>
      <c r="Y171">
        <v>11626</v>
      </c>
      <c r="Z171">
        <v>8946</v>
      </c>
      <c r="AA171">
        <v>10925</v>
      </c>
      <c r="AB171" t="s">
        <v>79</v>
      </c>
      <c r="AN171" s="3">
        <v>221</v>
      </c>
      <c r="AO171">
        <v>8418</v>
      </c>
      <c r="AQ171" s="6">
        <v>200</v>
      </c>
      <c r="AR171" s="5">
        <v>6916.5</v>
      </c>
    </row>
    <row r="172" spans="1:44" x14ac:dyDescent="0.3">
      <c r="A172">
        <v>1170</v>
      </c>
      <c r="B172" t="s">
        <v>50</v>
      </c>
      <c r="C172" t="s">
        <v>29</v>
      </c>
      <c r="D172" t="s">
        <v>51</v>
      </c>
      <c r="E172" t="s">
        <v>52</v>
      </c>
      <c r="F172" t="s">
        <v>53</v>
      </c>
      <c r="G172" s="1">
        <v>46131</v>
      </c>
      <c r="H172" t="s">
        <v>75</v>
      </c>
      <c r="I172" t="s">
        <v>69</v>
      </c>
      <c r="J172" t="s">
        <v>72</v>
      </c>
      <c r="K172" t="s">
        <v>47</v>
      </c>
      <c r="L172">
        <v>46</v>
      </c>
      <c r="M172">
        <v>13708</v>
      </c>
      <c r="N172">
        <v>8790.98</v>
      </c>
      <c r="O172">
        <v>4917.0200000000004</v>
      </c>
      <c r="P172">
        <v>212</v>
      </c>
      <c r="Q172">
        <v>4.8</v>
      </c>
      <c r="R172">
        <v>15</v>
      </c>
      <c r="S172" t="s">
        <v>64</v>
      </c>
      <c r="T172" t="s">
        <v>38</v>
      </c>
      <c r="U172" t="s">
        <v>55</v>
      </c>
      <c r="V172">
        <v>19.07</v>
      </c>
      <c r="W172">
        <v>72.87</v>
      </c>
      <c r="X172">
        <v>13447</v>
      </c>
      <c r="Y172">
        <v>18115</v>
      </c>
      <c r="Z172">
        <v>11752</v>
      </c>
      <c r="AA172">
        <v>17976</v>
      </c>
      <c r="AB172" t="s">
        <v>63</v>
      </c>
      <c r="AN172" s="3">
        <v>222</v>
      </c>
      <c r="AO172">
        <v>10640</v>
      </c>
      <c r="AQ172" s="6">
        <v>201</v>
      </c>
      <c r="AR172" s="5">
        <v>7882.666666666667</v>
      </c>
    </row>
    <row r="173" spans="1:44" x14ac:dyDescent="0.3">
      <c r="A173">
        <v>1171</v>
      </c>
      <c r="B173" t="s">
        <v>60</v>
      </c>
      <c r="C173" t="s">
        <v>29</v>
      </c>
      <c r="D173" t="s">
        <v>61</v>
      </c>
      <c r="E173" t="s">
        <v>62</v>
      </c>
      <c r="F173" t="s">
        <v>32</v>
      </c>
      <c r="G173" s="1">
        <v>46178</v>
      </c>
      <c r="H173" t="s">
        <v>68</v>
      </c>
      <c r="I173" t="s">
        <v>69</v>
      </c>
      <c r="J173" t="s">
        <v>70</v>
      </c>
      <c r="K173" t="s">
        <v>47</v>
      </c>
      <c r="L173">
        <v>24</v>
      </c>
      <c r="M173">
        <v>9600</v>
      </c>
      <c r="N173">
        <v>6574.71</v>
      </c>
      <c r="O173">
        <v>3025.29</v>
      </c>
      <c r="P173">
        <v>244</v>
      </c>
      <c r="Q173">
        <v>3.8</v>
      </c>
      <c r="R173">
        <v>0</v>
      </c>
      <c r="S173" t="s">
        <v>48</v>
      </c>
      <c r="T173" t="s">
        <v>49</v>
      </c>
      <c r="U173" t="s">
        <v>74</v>
      </c>
      <c r="V173">
        <v>13.08</v>
      </c>
      <c r="W173">
        <v>80.27</v>
      </c>
      <c r="X173">
        <v>9188</v>
      </c>
      <c r="Y173">
        <v>11779</v>
      </c>
      <c r="Z173">
        <v>8034</v>
      </c>
      <c r="AA173">
        <v>10699</v>
      </c>
      <c r="AB173" t="s">
        <v>63</v>
      </c>
      <c r="AN173" s="3">
        <v>223</v>
      </c>
      <c r="AO173">
        <v>6470</v>
      </c>
      <c r="AQ173" s="6">
        <v>202</v>
      </c>
      <c r="AR173" s="5">
        <v>11073.666666666666</v>
      </c>
    </row>
    <row r="174" spans="1:44" x14ac:dyDescent="0.3">
      <c r="A174">
        <v>1172</v>
      </c>
      <c r="B174" t="s">
        <v>50</v>
      </c>
      <c r="C174" t="s">
        <v>29</v>
      </c>
      <c r="D174" t="s">
        <v>51</v>
      </c>
      <c r="E174" t="s">
        <v>52</v>
      </c>
      <c r="F174" t="s">
        <v>53</v>
      </c>
      <c r="G174" s="1">
        <v>46100</v>
      </c>
      <c r="H174" t="s">
        <v>71</v>
      </c>
      <c r="I174" t="s">
        <v>34</v>
      </c>
      <c r="J174" t="s">
        <v>46</v>
      </c>
      <c r="K174" t="s">
        <v>36</v>
      </c>
      <c r="L174">
        <v>39</v>
      </c>
      <c r="M174">
        <v>9984</v>
      </c>
      <c r="N174">
        <v>7193.04</v>
      </c>
      <c r="O174">
        <v>2790.96</v>
      </c>
      <c r="P174">
        <v>221</v>
      </c>
      <c r="Q174">
        <v>4.3</v>
      </c>
      <c r="R174">
        <v>5</v>
      </c>
      <c r="S174" t="s">
        <v>48</v>
      </c>
      <c r="T174" t="s">
        <v>49</v>
      </c>
      <c r="U174" t="s">
        <v>55</v>
      </c>
      <c r="V174">
        <v>19.07</v>
      </c>
      <c r="W174">
        <v>72.87</v>
      </c>
      <c r="X174">
        <v>14831</v>
      </c>
      <c r="Y174">
        <v>15886</v>
      </c>
      <c r="Z174">
        <v>14262</v>
      </c>
      <c r="AA174">
        <v>15557</v>
      </c>
      <c r="AB174" t="s">
        <v>79</v>
      </c>
      <c r="AN174" s="3">
        <v>224</v>
      </c>
      <c r="AO174">
        <v>6592</v>
      </c>
      <c r="AQ174" s="6">
        <v>203</v>
      </c>
      <c r="AR174" s="5">
        <v>9686.75</v>
      </c>
    </row>
    <row r="175" spans="1:44" x14ac:dyDescent="0.3">
      <c r="A175">
        <v>1173</v>
      </c>
      <c r="B175" t="s">
        <v>60</v>
      </c>
      <c r="C175" t="s">
        <v>29</v>
      </c>
      <c r="D175" t="s">
        <v>61</v>
      </c>
      <c r="E175" t="s">
        <v>62</v>
      </c>
      <c r="F175" t="s">
        <v>32</v>
      </c>
      <c r="G175" s="1">
        <v>46055</v>
      </c>
      <c r="H175" t="s">
        <v>33</v>
      </c>
      <c r="I175" t="s">
        <v>57</v>
      </c>
      <c r="J175" t="s">
        <v>83</v>
      </c>
      <c r="K175" t="s">
        <v>59</v>
      </c>
      <c r="L175">
        <v>30</v>
      </c>
      <c r="M175">
        <v>8100</v>
      </c>
      <c r="N175">
        <v>5390.74</v>
      </c>
      <c r="O175">
        <v>2709.26</v>
      </c>
      <c r="P175">
        <v>54</v>
      </c>
      <c r="Q175">
        <v>3.8</v>
      </c>
      <c r="R175">
        <v>10</v>
      </c>
      <c r="S175" t="s">
        <v>37</v>
      </c>
      <c r="T175" t="s">
        <v>49</v>
      </c>
      <c r="U175" t="s">
        <v>74</v>
      </c>
      <c r="V175">
        <v>13.08</v>
      </c>
      <c r="W175">
        <v>80.27</v>
      </c>
      <c r="X175">
        <v>7938</v>
      </c>
      <c r="Y175">
        <v>10858</v>
      </c>
      <c r="Z175">
        <v>6959</v>
      </c>
      <c r="AA175">
        <v>10025</v>
      </c>
      <c r="AB175" t="s">
        <v>40</v>
      </c>
      <c r="AN175" s="3">
        <v>225</v>
      </c>
      <c r="AO175">
        <v>10908.5</v>
      </c>
      <c r="AQ175" s="6">
        <v>204</v>
      </c>
      <c r="AR175" s="5">
        <v>13500</v>
      </c>
    </row>
    <row r="176" spans="1:44" x14ac:dyDescent="0.3">
      <c r="A176">
        <v>1174</v>
      </c>
      <c r="B176" t="s">
        <v>41</v>
      </c>
      <c r="C176" t="s">
        <v>29</v>
      </c>
      <c r="D176" t="s">
        <v>42</v>
      </c>
      <c r="E176" t="s">
        <v>43</v>
      </c>
      <c r="F176" t="s">
        <v>44</v>
      </c>
      <c r="G176" s="1">
        <v>46129</v>
      </c>
      <c r="H176" t="s">
        <v>75</v>
      </c>
      <c r="I176" t="s">
        <v>80</v>
      </c>
      <c r="J176" t="s">
        <v>82</v>
      </c>
      <c r="K176" t="s">
        <v>47</v>
      </c>
      <c r="L176">
        <v>11</v>
      </c>
      <c r="M176">
        <v>2178</v>
      </c>
      <c r="N176">
        <v>1397.77</v>
      </c>
      <c r="O176">
        <v>780.23</v>
      </c>
      <c r="P176">
        <v>242</v>
      </c>
      <c r="Q176">
        <v>3.6</v>
      </c>
      <c r="R176">
        <v>15</v>
      </c>
      <c r="S176" t="s">
        <v>37</v>
      </c>
      <c r="T176" t="s">
        <v>76</v>
      </c>
      <c r="U176" t="s">
        <v>39</v>
      </c>
      <c r="V176">
        <v>28.61</v>
      </c>
      <c r="W176">
        <v>77.2</v>
      </c>
      <c r="X176">
        <v>8077</v>
      </c>
      <c r="Y176">
        <v>11495</v>
      </c>
      <c r="Z176">
        <v>6551</v>
      </c>
      <c r="AA176">
        <v>9267</v>
      </c>
      <c r="AB176" t="s">
        <v>40</v>
      </c>
      <c r="AN176" s="3">
        <v>226</v>
      </c>
      <c r="AO176">
        <v>12407.333333333334</v>
      </c>
      <c r="AQ176" s="6">
        <v>206</v>
      </c>
      <c r="AR176" s="5">
        <v>10792</v>
      </c>
    </row>
    <row r="177" spans="1:44" x14ac:dyDescent="0.3">
      <c r="A177">
        <v>1175</v>
      </c>
      <c r="B177" t="s">
        <v>60</v>
      </c>
      <c r="C177" t="s">
        <v>29</v>
      </c>
      <c r="D177" t="s">
        <v>61</v>
      </c>
      <c r="E177" t="s">
        <v>62</v>
      </c>
      <c r="F177" t="s">
        <v>32</v>
      </c>
      <c r="G177" s="1">
        <v>46103</v>
      </c>
      <c r="H177" t="s">
        <v>71</v>
      </c>
      <c r="I177" t="s">
        <v>69</v>
      </c>
      <c r="J177" t="s">
        <v>70</v>
      </c>
      <c r="K177" t="s">
        <v>59</v>
      </c>
      <c r="L177">
        <v>48</v>
      </c>
      <c r="M177">
        <v>14448</v>
      </c>
      <c r="N177">
        <v>11551.71</v>
      </c>
      <c r="O177">
        <v>2896.29</v>
      </c>
      <c r="P177">
        <v>208</v>
      </c>
      <c r="Q177">
        <v>4.7</v>
      </c>
      <c r="R177">
        <v>0</v>
      </c>
      <c r="S177" t="s">
        <v>64</v>
      </c>
      <c r="T177" t="s">
        <v>49</v>
      </c>
      <c r="U177" t="s">
        <v>74</v>
      </c>
      <c r="V177">
        <v>13.08</v>
      </c>
      <c r="W177">
        <v>80.27</v>
      </c>
      <c r="X177">
        <v>11519</v>
      </c>
      <c r="Y177">
        <v>14827</v>
      </c>
      <c r="Z177">
        <v>10247</v>
      </c>
      <c r="AA177">
        <v>11937</v>
      </c>
      <c r="AB177" t="s">
        <v>56</v>
      </c>
      <c r="AN177" s="3">
        <v>227</v>
      </c>
      <c r="AO177">
        <v>8740</v>
      </c>
      <c r="AQ177" s="6">
        <v>208</v>
      </c>
      <c r="AR177" s="5">
        <v>12829</v>
      </c>
    </row>
    <row r="178" spans="1:44" x14ac:dyDescent="0.3">
      <c r="A178">
        <v>1176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s="1">
        <v>46109</v>
      </c>
      <c r="H178" t="s">
        <v>71</v>
      </c>
      <c r="I178" t="s">
        <v>80</v>
      </c>
      <c r="J178" t="s">
        <v>81</v>
      </c>
      <c r="K178" t="s">
        <v>59</v>
      </c>
      <c r="L178">
        <v>10</v>
      </c>
      <c r="M178">
        <v>4030</v>
      </c>
      <c r="N178">
        <v>2827.86</v>
      </c>
      <c r="O178">
        <v>1202.1400000000001</v>
      </c>
      <c r="P178">
        <v>241</v>
      </c>
      <c r="Q178">
        <v>3.7</v>
      </c>
      <c r="R178">
        <v>0</v>
      </c>
      <c r="S178" t="s">
        <v>48</v>
      </c>
      <c r="T178" t="s">
        <v>49</v>
      </c>
      <c r="U178" t="s">
        <v>39</v>
      </c>
      <c r="V178">
        <v>12.97</v>
      </c>
      <c r="W178">
        <v>77.59</v>
      </c>
      <c r="X178">
        <v>13403</v>
      </c>
      <c r="Y178">
        <v>16177</v>
      </c>
      <c r="Z178">
        <v>12042</v>
      </c>
      <c r="AA178">
        <v>14760</v>
      </c>
      <c r="AB178" t="s">
        <v>79</v>
      </c>
      <c r="AN178" s="3">
        <v>228</v>
      </c>
      <c r="AO178">
        <v>18270</v>
      </c>
      <c r="AQ178" s="6">
        <v>209</v>
      </c>
      <c r="AR178" s="5">
        <v>17986</v>
      </c>
    </row>
    <row r="179" spans="1:44" x14ac:dyDescent="0.3">
      <c r="A179">
        <v>1177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s="1">
        <v>46075</v>
      </c>
      <c r="H179" t="s">
        <v>33</v>
      </c>
      <c r="I179" t="s">
        <v>34</v>
      </c>
      <c r="J179" t="s">
        <v>77</v>
      </c>
      <c r="K179" t="s">
        <v>36</v>
      </c>
      <c r="L179">
        <v>42</v>
      </c>
      <c r="M179">
        <v>13902</v>
      </c>
      <c r="N179">
        <v>9309.41</v>
      </c>
      <c r="O179">
        <v>4592.59</v>
      </c>
      <c r="P179">
        <v>46</v>
      </c>
      <c r="Q179">
        <v>3.5</v>
      </c>
      <c r="R179">
        <v>5</v>
      </c>
      <c r="S179" t="s">
        <v>64</v>
      </c>
      <c r="T179" t="s">
        <v>49</v>
      </c>
      <c r="U179" t="s">
        <v>74</v>
      </c>
      <c r="V179">
        <v>12.97</v>
      </c>
      <c r="W179">
        <v>77.59</v>
      </c>
      <c r="X179">
        <v>9898</v>
      </c>
      <c r="Y179">
        <v>14372</v>
      </c>
      <c r="Z179">
        <v>7998</v>
      </c>
      <c r="AA179">
        <v>8582</v>
      </c>
      <c r="AB179" t="s">
        <v>79</v>
      </c>
      <c r="AN179" s="3">
        <v>229</v>
      </c>
      <c r="AO179">
        <v>11338.5</v>
      </c>
      <c r="AQ179" s="6">
        <v>210</v>
      </c>
      <c r="AR179" s="5">
        <v>4202</v>
      </c>
    </row>
    <row r="180" spans="1:44" x14ac:dyDescent="0.3">
      <c r="A180">
        <v>1178</v>
      </c>
      <c r="B180" t="s">
        <v>65</v>
      </c>
      <c r="C180" t="s">
        <v>29</v>
      </c>
      <c r="D180" t="s">
        <v>66</v>
      </c>
      <c r="E180" t="s">
        <v>67</v>
      </c>
      <c r="F180" t="s">
        <v>32</v>
      </c>
      <c r="G180" s="1">
        <v>46147</v>
      </c>
      <c r="H180" t="s">
        <v>54</v>
      </c>
      <c r="I180" t="s">
        <v>57</v>
      </c>
      <c r="J180" t="s">
        <v>83</v>
      </c>
      <c r="K180" t="s">
        <v>36</v>
      </c>
      <c r="L180">
        <v>17</v>
      </c>
      <c r="M180">
        <v>5865</v>
      </c>
      <c r="N180">
        <v>4203.8599999999997</v>
      </c>
      <c r="O180">
        <v>1661.14</v>
      </c>
      <c r="P180">
        <v>130</v>
      </c>
      <c r="Q180">
        <v>4.2</v>
      </c>
      <c r="R180">
        <v>10</v>
      </c>
      <c r="S180" t="s">
        <v>64</v>
      </c>
      <c r="T180" t="s">
        <v>38</v>
      </c>
      <c r="U180" t="s">
        <v>39</v>
      </c>
      <c r="V180">
        <v>9.93</v>
      </c>
      <c r="W180">
        <v>76.260000000000005</v>
      </c>
      <c r="X180">
        <v>13383</v>
      </c>
      <c r="Y180">
        <v>17370</v>
      </c>
      <c r="Z180">
        <v>11558</v>
      </c>
      <c r="AA180">
        <v>15664</v>
      </c>
      <c r="AB180" t="s">
        <v>63</v>
      </c>
      <c r="AN180" s="3">
        <v>230</v>
      </c>
      <c r="AO180">
        <v>9238</v>
      </c>
      <c r="AQ180" s="6">
        <v>212</v>
      </c>
      <c r="AR180" s="5">
        <v>11867</v>
      </c>
    </row>
    <row r="181" spans="1:44" x14ac:dyDescent="0.3">
      <c r="A181">
        <v>1179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s="1">
        <v>46084</v>
      </c>
      <c r="H181" t="s">
        <v>71</v>
      </c>
      <c r="I181" t="s">
        <v>69</v>
      </c>
      <c r="J181" t="s">
        <v>72</v>
      </c>
      <c r="K181" t="s">
        <v>36</v>
      </c>
      <c r="L181">
        <v>22</v>
      </c>
      <c r="M181">
        <v>7194</v>
      </c>
      <c r="N181">
        <v>5427.1</v>
      </c>
      <c r="O181">
        <v>1766.9</v>
      </c>
      <c r="P181">
        <v>151</v>
      </c>
      <c r="Q181">
        <v>4.5</v>
      </c>
      <c r="R181">
        <v>10</v>
      </c>
      <c r="S181" t="s">
        <v>37</v>
      </c>
      <c r="T181" t="s">
        <v>76</v>
      </c>
      <c r="U181" t="s">
        <v>55</v>
      </c>
      <c r="V181">
        <v>12.97</v>
      </c>
      <c r="W181">
        <v>77.59</v>
      </c>
      <c r="X181">
        <v>5748</v>
      </c>
      <c r="Y181">
        <v>9045</v>
      </c>
      <c r="Z181">
        <v>4658</v>
      </c>
      <c r="AA181">
        <v>7988</v>
      </c>
      <c r="AB181" t="s">
        <v>79</v>
      </c>
      <c r="AN181" s="3">
        <v>231</v>
      </c>
      <c r="AO181">
        <v>2951</v>
      </c>
      <c r="AQ181" s="6">
        <v>213</v>
      </c>
      <c r="AR181" s="5">
        <v>7958.666666666667</v>
      </c>
    </row>
    <row r="182" spans="1:44" x14ac:dyDescent="0.3">
      <c r="A182">
        <v>1180</v>
      </c>
      <c r="B182" t="s">
        <v>60</v>
      </c>
      <c r="C182" t="s">
        <v>29</v>
      </c>
      <c r="D182" t="s">
        <v>61</v>
      </c>
      <c r="E182" t="s">
        <v>62</v>
      </c>
      <c r="F182" t="s">
        <v>32</v>
      </c>
      <c r="G182" s="1">
        <v>46185</v>
      </c>
      <c r="H182" t="s">
        <v>68</v>
      </c>
      <c r="I182" t="s">
        <v>34</v>
      </c>
      <c r="J182" t="s">
        <v>46</v>
      </c>
      <c r="K182" t="s">
        <v>78</v>
      </c>
      <c r="L182">
        <v>26</v>
      </c>
      <c r="M182">
        <v>6630</v>
      </c>
      <c r="N182">
        <v>4971.96</v>
      </c>
      <c r="O182">
        <v>1658.04</v>
      </c>
      <c r="P182">
        <v>253</v>
      </c>
      <c r="Q182">
        <v>4.9000000000000004</v>
      </c>
      <c r="R182">
        <v>15</v>
      </c>
      <c r="S182" t="s">
        <v>48</v>
      </c>
      <c r="T182" t="s">
        <v>76</v>
      </c>
      <c r="U182" t="s">
        <v>39</v>
      </c>
      <c r="V182">
        <v>13.08</v>
      </c>
      <c r="W182">
        <v>80.27</v>
      </c>
      <c r="X182">
        <v>14946</v>
      </c>
      <c r="Y182">
        <v>17492</v>
      </c>
      <c r="Z182">
        <v>13259</v>
      </c>
      <c r="AA182">
        <v>16011</v>
      </c>
      <c r="AB182" t="s">
        <v>40</v>
      </c>
      <c r="AN182" s="3">
        <v>233</v>
      </c>
      <c r="AO182">
        <v>7675.5</v>
      </c>
      <c r="AQ182" s="6">
        <v>214</v>
      </c>
      <c r="AR182" s="5">
        <v>7623</v>
      </c>
    </row>
    <row r="183" spans="1:44" x14ac:dyDescent="0.3">
      <c r="A183">
        <v>1181</v>
      </c>
      <c r="B183" t="s">
        <v>50</v>
      </c>
      <c r="C183" t="s">
        <v>29</v>
      </c>
      <c r="D183" t="s">
        <v>51</v>
      </c>
      <c r="E183" t="s">
        <v>52</v>
      </c>
      <c r="F183" t="s">
        <v>53</v>
      </c>
      <c r="G183" s="1">
        <v>46133</v>
      </c>
      <c r="H183" t="s">
        <v>75</v>
      </c>
      <c r="I183" t="s">
        <v>80</v>
      </c>
      <c r="J183" t="s">
        <v>82</v>
      </c>
      <c r="K183" t="s">
        <v>47</v>
      </c>
      <c r="L183">
        <v>60</v>
      </c>
      <c r="M183">
        <v>20580</v>
      </c>
      <c r="N183">
        <v>14195.93</v>
      </c>
      <c r="O183">
        <v>6384.07</v>
      </c>
      <c r="P183">
        <v>297</v>
      </c>
      <c r="Q183">
        <v>3.7</v>
      </c>
      <c r="R183">
        <v>5</v>
      </c>
      <c r="S183" t="s">
        <v>48</v>
      </c>
      <c r="T183" t="s">
        <v>38</v>
      </c>
      <c r="U183" t="s">
        <v>39</v>
      </c>
      <c r="V183">
        <v>19.07</v>
      </c>
      <c r="W183">
        <v>72.87</v>
      </c>
      <c r="X183">
        <v>14443</v>
      </c>
      <c r="Y183">
        <v>17113</v>
      </c>
      <c r="Z183">
        <v>13471</v>
      </c>
      <c r="AA183">
        <v>16655</v>
      </c>
      <c r="AB183" t="s">
        <v>40</v>
      </c>
      <c r="AN183" s="3">
        <v>234</v>
      </c>
      <c r="AO183">
        <v>7165.333333333333</v>
      </c>
      <c r="AQ183" s="6">
        <v>215</v>
      </c>
      <c r="AR183" s="5">
        <v>12980</v>
      </c>
    </row>
    <row r="184" spans="1:44" x14ac:dyDescent="0.3">
      <c r="A184">
        <v>1182</v>
      </c>
      <c r="B184" t="s">
        <v>41</v>
      </c>
      <c r="C184" t="s">
        <v>29</v>
      </c>
      <c r="D184" t="s">
        <v>42</v>
      </c>
      <c r="E184" t="s">
        <v>43</v>
      </c>
      <c r="F184" t="s">
        <v>44</v>
      </c>
      <c r="G184" s="1">
        <v>46038</v>
      </c>
      <c r="H184" t="s">
        <v>45</v>
      </c>
      <c r="I184" t="s">
        <v>57</v>
      </c>
      <c r="J184" t="s">
        <v>83</v>
      </c>
      <c r="K184" t="s">
        <v>59</v>
      </c>
      <c r="L184">
        <v>46</v>
      </c>
      <c r="M184">
        <v>17986</v>
      </c>
      <c r="N184">
        <v>14160.35</v>
      </c>
      <c r="O184">
        <v>3825.65</v>
      </c>
      <c r="P184">
        <v>209</v>
      </c>
      <c r="Q184">
        <v>4.5999999999999996</v>
      </c>
      <c r="R184">
        <v>0</v>
      </c>
      <c r="S184" t="s">
        <v>48</v>
      </c>
      <c r="T184" t="s">
        <v>49</v>
      </c>
      <c r="U184" t="s">
        <v>74</v>
      </c>
      <c r="V184">
        <v>28.61</v>
      </c>
      <c r="W184">
        <v>77.2</v>
      </c>
      <c r="X184">
        <v>11474</v>
      </c>
      <c r="Y184">
        <v>15719</v>
      </c>
      <c r="Z184">
        <v>10614</v>
      </c>
      <c r="AA184">
        <v>15691</v>
      </c>
      <c r="AB184" t="s">
        <v>63</v>
      </c>
      <c r="AN184" s="3">
        <v>235</v>
      </c>
      <c r="AO184">
        <v>16000</v>
      </c>
      <c r="AQ184" s="6">
        <v>216</v>
      </c>
      <c r="AR184" s="5">
        <v>12989.333333333334</v>
      </c>
    </row>
    <row r="185" spans="1:44" x14ac:dyDescent="0.3">
      <c r="A185">
        <v>1183</v>
      </c>
      <c r="B185" t="s">
        <v>41</v>
      </c>
      <c r="C185" t="s">
        <v>29</v>
      </c>
      <c r="D185" t="s">
        <v>42</v>
      </c>
      <c r="E185" t="s">
        <v>43</v>
      </c>
      <c r="F185" t="s">
        <v>44</v>
      </c>
      <c r="G185" s="1">
        <v>46110</v>
      </c>
      <c r="H185" t="s">
        <v>71</v>
      </c>
      <c r="I185" t="s">
        <v>80</v>
      </c>
      <c r="J185" t="s">
        <v>81</v>
      </c>
      <c r="K185" t="s">
        <v>73</v>
      </c>
      <c r="L185">
        <v>22</v>
      </c>
      <c r="M185">
        <v>6534</v>
      </c>
      <c r="N185">
        <v>3929.3</v>
      </c>
      <c r="O185">
        <v>2604.6999999999998</v>
      </c>
      <c r="P185">
        <v>129</v>
      </c>
      <c r="Q185">
        <v>3.8</v>
      </c>
      <c r="R185">
        <v>0</v>
      </c>
      <c r="S185" t="s">
        <v>48</v>
      </c>
      <c r="T185" t="s">
        <v>76</v>
      </c>
      <c r="U185" t="s">
        <v>74</v>
      </c>
      <c r="V185">
        <v>28.61</v>
      </c>
      <c r="W185">
        <v>77.2</v>
      </c>
      <c r="X185">
        <v>11855</v>
      </c>
      <c r="Y185">
        <v>15385</v>
      </c>
      <c r="Z185">
        <v>11038</v>
      </c>
      <c r="AA185">
        <v>15104</v>
      </c>
      <c r="AB185" t="s">
        <v>40</v>
      </c>
      <c r="AN185" s="3">
        <v>236</v>
      </c>
      <c r="AO185">
        <v>9588.3333333333339</v>
      </c>
      <c r="AQ185" s="6">
        <v>217</v>
      </c>
      <c r="AR185" s="5">
        <v>10817</v>
      </c>
    </row>
    <row r="186" spans="1:44" x14ac:dyDescent="0.3">
      <c r="A186">
        <v>1184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s="1">
        <v>46111</v>
      </c>
      <c r="H186" t="s">
        <v>71</v>
      </c>
      <c r="I186" t="s">
        <v>34</v>
      </c>
      <c r="J186" t="s">
        <v>46</v>
      </c>
      <c r="K186" t="s">
        <v>78</v>
      </c>
      <c r="L186">
        <v>40</v>
      </c>
      <c r="M186">
        <v>8720</v>
      </c>
      <c r="N186">
        <v>5966.76</v>
      </c>
      <c r="O186">
        <v>2753.24</v>
      </c>
      <c r="P186">
        <v>137</v>
      </c>
      <c r="Q186">
        <v>4.3</v>
      </c>
      <c r="R186">
        <v>0</v>
      </c>
      <c r="S186" t="s">
        <v>48</v>
      </c>
      <c r="T186" t="s">
        <v>38</v>
      </c>
      <c r="U186" t="s">
        <v>39</v>
      </c>
      <c r="V186">
        <v>12.97</v>
      </c>
      <c r="W186">
        <v>77.59</v>
      </c>
      <c r="X186">
        <v>6515</v>
      </c>
      <c r="Y186">
        <v>9743</v>
      </c>
      <c r="Z186">
        <v>4904</v>
      </c>
      <c r="AA186">
        <v>7617</v>
      </c>
      <c r="AB186" t="s">
        <v>40</v>
      </c>
      <c r="AN186" s="3">
        <v>237</v>
      </c>
      <c r="AO186">
        <v>17492.5</v>
      </c>
      <c r="AQ186" s="6">
        <v>218</v>
      </c>
      <c r="AR186" s="5">
        <v>9990</v>
      </c>
    </row>
    <row r="187" spans="1:44" x14ac:dyDescent="0.3">
      <c r="A187">
        <v>1185</v>
      </c>
      <c r="B187" t="s">
        <v>65</v>
      </c>
      <c r="C187" t="s">
        <v>29</v>
      </c>
      <c r="D187" t="s">
        <v>66</v>
      </c>
      <c r="E187" t="s">
        <v>67</v>
      </c>
      <c r="F187" t="s">
        <v>32</v>
      </c>
      <c r="G187" s="1">
        <v>46181</v>
      </c>
      <c r="H187" t="s">
        <v>68</v>
      </c>
      <c r="I187" t="s">
        <v>57</v>
      </c>
      <c r="J187" t="s">
        <v>58</v>
      </c>
      <c r="K187" t="s">
        <v>78</v>
      </c>
      <c r="L187">
        <v>32</v>
      </c>
      <c r="M187">
        <v>9728</v>
      </c>
      <c r="N187">
        <v>6041.57</v>
      </c>
      <c r="O187">
        <v>3686.43</v>
      </c>
      <c r="P187">
        <v>216</v>
      </c>
      <c r="Q187">
        <v>4.3</v>
      </c>
      <c r="R187">
        <v>15</v>
      </c>
      <c r="S187" t="s">
        <v>48</v>
      </c>
      <c r="T187" t="s">
        <v>49</v>
      </c>
      <c r="U187" t="s">
        <v>74</v>
      </c>
      <c r="V187">
        <v>9.93</v>
      </c>
      <c r="W187">
        <v>76.260000000000005</v>
      </c>
      <c r="X187">
        <v>9126</v>
      </c>
      <c r="Y187">
        <v>10200</v>
      </c>
      <c r="Z187">
        <v>8179</v>
      </c>
      <c r="AA187">
        <v>9791</v>
      </c>
      <c r="AB187" t="s">
        <v>63</v>
      </c>
      <c r="AN187" s="3">
        <v>238</v>
      </c>
      <c r="AO187">
        <v>10867.666666666666</v>
      </c>
      <c r="AQ187" s="6">
        <v>221</v>
      </c>
      <c r="AR187" s="5">
        <v>8418</v>
      </c>
    </row>
    <row r="188" spans="1:44" x14ac:dyDescent="0.3">
      <c r="A188">
        <v>1186</v>
      </c>
      <c r="B188" t="s">
        <v>60</v>
      </c>
      <c r="C188" t="s">
        <v>29</v>
      </c>
      <c r="D188" t="s">
        <v>61</v>
      </c>
      <c r="E188" t="s">
        <v>62</v>
      </c>
      <c r="F188" t="s">
        <v>32</v>
      </c>
      <c r="G188" s="1">
        <v>46114</v>
      </c>
      <c r="H188" t="s">
        <v>75</v>
      </c>
      <c r="I188" t="s">
        <v>80</v>
      </c>
      <c r="J188" t="s">
        <v>81</v>
      </c>
      <c r="K188" t="s">
        <v>73</v>
      </c>
      <c r="L188">
        <v>18</v>
      </c>
      <c r="M188">
        <v>5112</v>
      </c>
      <c r="N188">
        <v>3598.64</v>
      </c>
      <c r="O188">
        <v>1513.36</v>
      </c>
      <c r="P188">
        <v>76</v>
      </c>
      <c r="Q188">
        <v>4.2</v>
      </c>
      <c r="R188">
        <v>5</v>
      </c>
      <c r="S188" t="s">
        <v>48</v>
      </c>
      <c r="T188" t="s">
        <v>49</v>
      </c>
      <c r="U188" t="s">
        <v>39</v>
      </c>
      <c r="V188">
        <v>13.08</v>
      </c>
      <c r="W188">
        <v>80.27</v>
      </c>
      <c r="X188">
        <v>8414</v>
      </c>
      <c r="Y188">
        <v>11583</v>
      </c>
      <c r="Z188">
        <v>7199</v>
      </c>
      <c r="AA188">
        <v>8649</v>
      </c>
      <c r="AB188" t="s">
        <v>63</v>
      </c>
      <c r="AN188" s="3">
        <v>239</v>
      </c>
      <c r="AO188">
        <v>8542</v>
      </c>
      <c r="AQ188" s="6">
        <v>222</v>
      </c>
      <c r="AR188" s="5">
        <v>10640</v>
      </c>
    </row>
    <row r="189" spans="1:44" x14ac:dyDescent="0.3">
      <c r="A189">
        <v>1187</v>
      </c>
      <c r="B189" t="s">
        <v>50</v>
      </c>
      <c r="C189" t="s">
        <v>29</v>
      </c>
      <c r="D189" t="s">
        <v>51</v>
      </c>
      <c r="E189" t="s">
        <v>52</v>
      </c>
      <c r="F189" t="s">
        <v>53</v>
      </c>
      <c r="G189" s="1">
        <v>46036</v>
      </c>
      <c r="H189" t="s">
        <v>45</v>
      </c>
      <c r="I189" t="s">
        <v>57</v>
      </c>
      <c r="J189" t="s">
        <v>58</v>
      </c>
      <c r="K189" t="s">
        <v>73</v>
      </c>
      <c r="L189">
        <v>25</v>
      </c>
      <c r="M189">
        <v>8425</v>
      </c>
      <c r="N189">
        <v>5895.77</v>
      </c>
      <c r="O189">
        <v>2529.23</v>
      </c>
      <c r="P189">
        <v>244</v>
      </c>
      <c r="Q189">
        <v>3.7</v>
      </c>
      <c r="R189">
        <v>15</v>
      </c>
      <c r="S189" t="s">
        <v>37</v>
      </c>
      <c r="T189" t="s">
        <v>76</v>
      </c>
      <c r="U189" t="s">
        <v>39</v>
      </c>
      <c r="V189">
        <v>19.07</v>
      </c>
      <c r="W189">
        <v>72.87</v>
      </c>
      <c r="X189">
        <v>11587</v>
      </c>
      <c r="Y189">
        <v>13161</v>
      </c>
      <c r="Z189">
        <v>10083</v>
      </c>
      <c r="AA189">
        <v>11476</v>
      </c>
      <c r="AB189" t="s">
        <v>56</v>
      </c>
      <c r="AN189" s="3">
        <v>240</v>
      </c>
      <c r="AO189">
        <v>14060</v>
      </c>
      <c r="AQ189" s="6">
        <v>223</v>
      </c>
      <c r="AR189" s="5">
        <v>6470</v>
      </c>
    </row>
    <row r="190" spans="1:44" x14ac:dyDescent="0.3">
      <c r="A190">
        <v>1188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s="1">
        <v>46086</v>
      </c>
      <c r="H190" t="s">
        <v>71</v>
      </c>
      <c r="I190" t="s">
        <v>69</v>
      </c>
      <c r="J190" t="s">
        <v>70</v>
      </c>
      <c r="K190" t="s">
        <v>78</v>
      </c>
      <c r="L190">
        <v>53</v>
      </c>
      <c r="M190">
        <v>15476</v>
      </c>
      <c r="N190">
        <v>10503.48</v>
      </c>
      <c r="O190">
        <v>4972.5200000000004</v>
      </c>
      <c r="P190">
        <v>144</v>
      </c>
      <c r="Q190">
        <v>4.2</v>
      </c>
      <c r="R190">
        <v>0</v>
      </c>
      <c r="S190" t="s">
        <v>37</v>
      </c>
      <c r="T190" t="s">
        <v>38</v>
      </c>
      <c r="U190" t="s">
        <v>74</v>
      </c>
      <c r="V190">
        <v>12.97</v>
      </c>
      <c r="W190">
        <v>77.59</v>
      </c>
      <c r="X190">
        <v>10126</v>
      </c>
      <c r="Y190">
        <v>14677</v>
      </c>
      <c r="Z190">
        <v>8790</v>
      </c>
      <c r="AA190">
        <v>12629</v>
      </c>
      <c r="AB190" t="s">
        <v>79</v>
      </c>
      <c r="AN190" s="3">
        <v>241</v>
      </c>
      <c r="AO190">
        <v>4730</v>
      </c>
      <c r="AQ190" s="6">
        <v>224</v>
      </c>
      <c r="AR190" s="5">
        <v>6592</v>
      </c>
    </row>
    <row r="191" spans="1:44" x14ac:dyDescent="0.3">
      <c r="A191">
        <v>1189</v>
      </c>
      <c r="B191" t="s">
        <v>41</v>
      </c>
      <c r="C191" t="s">
        <v>29</v>
      </c>
      <c r="D191" t="s">
        <v>42</v>
      </c>
      <c r="E191" t="s">
        <v>43</v>
      </c>
      <c r="F191" t="s">
        <v>44</v>
      </c>
      <c r="G191" s="1">
        <v>46142</v>
      </c>
      <c r="H191" t="s">
        <v>75</v>
      </c>
      <c r="I191" t="s">
        <v>34</v>
      </c>
      <c r="J191" t="s">
        <v>46</v>
      </c>
      <c r="K191" t="s">
        <v>36</v>
      </c>
      <c r="L191">
        <v>52</v>
      </c>
      <c r="M191">
        <v>19500</v>
      </c>
      <c r="N191">
        <v>13163.39</v>
      </c>
      <c r="O191">
        <v>6336.61</v>
      </c>
      <c r="P191">
        <v>105</v>
      </c>
      <c r="Q191">
        <v>3.9</v>
      </c>
      <c r="R191">
        <v>15</v>
      </c>
      <c r="S191" t="s">
        <v>48</v>
      </c>
      <c r="T191" t="s">
        <v>38</v>
      </c>
      <c r="U191" t="s">
        <v>39</v>
      </c>
      <c r="V191">
        <v>28.61</v>
      </c>
      <c r="W191">
        <v>77.2</v>
      </c>
      <c r="X191">
        <v>14036</v>
      </c>
      <c r="Y191">
        <v>16868</v>
      </c>
      <c r="Z191">
        <v>12799</v>
      </c>
      <c r="AA191">
        <v>12950</v>
      </c>
      <c r="AB191" t="s">
        <v>79</v>
      </c>
      <c r="AN191" s="3">
        <v>242</v>
      </c>
      <c r="AO191">
        <v>2178</v>
      </c>
      <c r="AQ191" s="6">
        <v>225</v>
      </c>
      <c r="AR191" s="5">
        <v>10908.5</v>
      </c>
    </row>
    <row r="192" spans="1:44" x14ac:dyDescent="0.3">
      <c r="A192">
        <v>1190</v>
      </c>
      <c r="B192" t="s">
        <v>60</v>
      </c>
      <c r="C192" t="s">
        <v>29</v>
      </c>
      <c r="D192" t="s">
        <v>61</v>
      </c>
      <c r="E192" t="s">
        <v>62</v>
      </c>
      <c r="F192" t="s">
        <v>32</v>
      </c>
      <c r="G192" s="1">
        <v>46172</v>
      </c>
      <c r="H192" t="s">
        <v>54</v>
      </c>
      <c r="I192" t="s">
        <v>80</v>
      </c>
      <c r="J192" t="s">
        <v>81</v>
      </c>
      <c r="K192" t="s">
        <v>59</v>
      </c>
      <c r="L192">
        <v>50</v>
      </c>
      <c r="M192">
        <v>15700</v>
      </c>
      <c r="N192">
        <v>11158.26</v>
      </c>
      <c r="O192">
        <v>4541.74</v>
      </c>
      <c r="P192">
        <v>131</v>
      </c>
      <c r="Q192">
        <v>5</v>
      </c>
      <c r="R192">
        <v>15</v>
      </c>
      <c r="S192" t="s">
        <v>37</v>
      </c>
      <c r="T192" t="s">
        <v>76</v>
      </c>
      <c r="U192" t="s">
        <v>55</v>
      </c>
      <c r="V192">
        <v>13.08</v>
      </c>
      <c r="W192">
        <v>80.27</v>
      </c>
      <c r="X192">
        <v>12195</v>
      </c>
      <c r="Y192">
        <v>14388</v>
      </c>
      <c r="Z192">
        <v>10617</v>
      </c>
      <c r="AA192">
        <v>14043</v>
      </c>
      <c r="AB192" t="s">
        <v>40</v>
      </c>
      <c r="AN192" s="3">
        <v>244</v>
      </c>
      <c r="AO192">
        <v>9012.5</v>
      </c>
      <c r="AQ192" s="6">
        <v>226</v>
      </c>
      <c r="AR192" s="5">
        <v>12407.333333333334</v>
      </c>
    </row>
    <row r="193" spans="1:44" x14ac:dyDescent="0.3">
      <c r="A193">
        <v>1191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s="1">
        <v>46179</v>
      </c>
      <c r="H193" t="s">
        <v>68</v>
      </c>
      <c r="I193" t="s">
        <v>57</v>
      </c>
      <c r="J193" t="s">
        <v>58</v>
      </c>
      <c r="K193" t="s">
        <v>47</v>
      </c>
      <c r="L193">
        <v>38</v>
      </c>
      <c r="M193">
        <v>12046</v>
      </c>
      <c r="N193">
        <v>9087.48</v>
      </c>
      <c r="O193">
        <v>2958.52</v>
      </c>
      <c r="P193">
        <v>188</v>
      </c>
      <c r="Q193">
        <v>5</v>
      </c>
      <c r="R193">
        <v>5</v>
      </c>
      <c r="S193" t="s">
        <v>48</v>
      </c>
      <c r="T193" t="s">
        <v>38</v>
      </c>
      <c r="U193" t="s">
        <v>39</v>
      </c>
      <c r="V193">
        <v>12.97</v>
      </c>
      <c r="W193">
        <v>77.59</v>
      </c>
      <c r="X193">
        <v>14531</v>
      </c>
      <c r="Y193">
        <v>17761</v>
      </c>
      <c r="Z193">
        <v>13075</v>
      </c>
      <c r="AA193">
        <v>15597</v>
      </c>
      <c r="AB193" t="s">
        <v>63</v>
      </c>
      <c r="AN193" s="3">
        <v>245</v>
      </c>
      <c r="AO193">
        <v>2807</v>
      </c>
      <c r="AQ193" s="6">
        <v>227</v>
      </c>
      <c r="AR193" s="5">
        <v>8740</v>
      </c>
    </row>
    <row r="194" spans="1:44" x14ac:dyDescent="0.3">
      <c r="A194">
        <v>1192</v>
      </c>
      <c r="B194" t="s">
        <v>60</v>
      </c>
      <c r="C194" t="s">
        <v>29</v>
      </c>
      <c r="D194" t="s">
        <v>61</v>
      </c>
      <c r="E194" t="s">
        <v>62</v>
      </c>
      <c r="F194" t="s">
        <v>32</v>
      </c>
      <c r="G194" s="1">
        <v>46063</v>
      </c>
      <c r="H194" t="s">
        <v>33</v>
      </c>
      <c r="I194" t="s">
        <v>34</v>
      </c>
      <c r="J194" t="s">
        <v>35</v>
      </c>
      <c r="K194" t="s">
        <v>36</v>
      </c>
      <c r="L194">
        <v>60</v>
      </c>
      <c r="M194">
        <v>19980</v>
      </c>
      <c r="N194">
        <v>13954.87</v>
      </c>
      <c r="O194">
        <v>6025.13</v>
      </c>
      <c r="P194">
        <v>250</v>
      </c>
      <c r="Q194">
        <v>4.5</v>
      </c>
      <c r="R194">
        <v>10</v>
      </c>
      <c r="S194" t="s">
        <v>64</v>
      </c>
      <c r="T194" t="s">
        <v>76</v>
      </c>
      <c r="U194" t="s">
        <v>39</v>
      </c>
      <c r="V194">
        <v>13.08</v>
      </c>
      <c r="W194">
        <v>80.27</v>
      </c>
      <c r="X194">
        <v>11612</v>
      </c>
      <c r="Y194">
        <v>16094</v>
      </c>
      <c r="Z194">
        <v>9851</v>
      </c>
      <c r="AA194">
        <v>11212</v>
      </c>
      <c r="AB194" t="s">
        <v>79</v>
      </c>
      <c r="AN194" s="3">
        <v>246</v>
      </c>
      <c r="AO194">
        <v>14769.4</v>
      </c>
      <c r="AQ194" s="6">
        <v>228</v>
      </c>
      <c r="AR194" s="5">
        <v>18270</v>
      </c>
    </row>
    <row r="195" spans="1:44" x14ac:dyDescent="0.3">
      <c r="A195">
        <v>1193</v>
      </c>
      <c r="B195" t="s">
        <v>50</v>
      </c>
      <c r="C195" t="s">
        <v>29</v>
      </c>
      <c r="D195" t="s">
        <v>51</v>
      </c>
      <c r="E195" t="s">
        <v>52</v>
      </c>
      <c r="F195" t="s">
        <v>53</v>
      </c>
      <c r="G195" s="1">
        <v>46195</v>
      </c>
      <c r="H195" t="s">
        <v>68</v>
      </c>
      <c r="I195" t="s">
        <v>80</v>
      </c>
      <c r="J195" t="s">
        <v>81</v>
      </c>
      <c r="K195" t="s">
        <v>59</v>
      </c>
      <c r="L195">
        <v>14</v>
      </c>
      <c r="M195">
        <v>2660</v>
      </c>
      <c r="N195">
        <v>1481.12</v>
      </c>
      <c r="O195">
        <v>1178.8800000000001</v>
      </c>
      <c r="P195">
        <v>122</v>
      </c>
      <c r="Q195">
        <v>4.5999999999999996</v>
      </c>
      <c r="R195">
        <v>15</v>
      </c>
      <c r="S195" t="s">
        <v>48</v>
      </c>
      <c r="T195" t="s">
        <v>38</v>
      </c>
      <c r="U195" t="s">
        <v>55</v>
      </c>
      <c r="V195">
        <v>19.07</v>
      </c>
      <c r="W195">
        <v>72.87</v>
      </c>
      <c r="X195">
        <v>6909</v>
      </c>
      <c r="Y195">
        <v>11876</v>
      </c>
      <c r="Z195">
        <v>6226</v>
      </c>
      <c r="AA195">
        <v>8409</v>
      </c>
      <c r="AB195" t="s">
        <v>79</v>
      </c>
      <c r="AN195" s="3">
        <v>248</v>
      </c>
      <c r="AO195">
        <v>11832</v>
      </c>
      <c r="AQ195" s="6">
        <v>229</v>
      </c>
      <c r="AR195" s="5">
        <v>11338.5</v>
      </c>
    </row>
    <row r="196" spans="1:44" x14ac:dyDescent="0.3">
      <c r="A196">
        <v>1194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s="1">
        <v>46056</v>
      </c>
      <c r="H196" t="s">
        <v>33</v>
      </c>
      <c r="I196" t="s">
        <v>69</v>
      </c>
      <c r="J196" t="s">
        <v>70</v>
      </c>
      <c r="K196" t="s">
        <v>36</v>
      </c>
      <c r="L196">
        <v>32</v>
      </c>
      <c r="M196">
        <v>10304</v>
      </c>
      <c r="N196">
        <v>7924.48</v>
      </c>
      <c r="O196">
        <v>2379.52</v>
      </c>
      <c r="P196">
        <v>283</v>
      </c>
      <c r="Q196">
        <v>4.0999999999999996</v>
      </c>
      <c r="R196">
        <v>10</v>
      </c>
      <c r="S196" t="s">
        <v>48</v>
      </c>
      <c r="T196" t="s">
        <v>38</v>
      </c>
      <c r="U196" t="s">
        <v>39</v>
      </c>
      <c r="V196">
        <v>12.97</v>
      </c>
      <c r="W196">
        <v>77.59</v>
      </c>
      <c r="X196">
        <v>11894</v>
      </c>
      <c r="Y196">
        <v>14734</v>
      </c>
      <c r="Z196">
        <v>10961</v>
      </c>
      <c r="AA196">
        <v>13516</v>
      </c>
      <c r="AB196" t="s">
        <v>63</v>
      </c>
      <c r="AN196" s="3">
        <v>249</v>
      </c>
      <c r="AO196">
        <v>2392</v>
      </c>
      <c r="AQ196" s="6">
        <v>230</v>
      </c>
      <c r="AR196" s="5">
        <v>9238</v>
      </c>
    </row>
    <row r="197" spans="1:44" x14ac:dyDescent="0.3">
      <c r="A197">
        <v>1195</v>
      </c>
      <c r="B197" t="s">
        <v>65</v>
      </c>
      <c r="C197" t="s">
        <v>29</v>
      </c>
      <c r="D197" t="s">
        <v>66</v>
      </c>
      <c r="E197" t="s">
        <v>67</v>
      </c>
      <c r="F197" t="s">
        <v>32</v>
      </c>
      <c r="G197" s="1">
        <v>46200</v>
      </c>
      <c r="H197" t="s">
        <v>68</v>
      </c>
      <c r="I197" t="s">
        <v>57</v>
      </c>
      <c r="J197" t="s">
        <v>58</v>
      </c>
      <c r="K197" t="s">
        <v>78</v>
      </c>
      <c r="L197">
        <v>35</v>
      </c>
      <c r="M197">
        <v>13685</v>
      </c>
      <c r="N197">
        <v>8634.61</v>
      </c>
      <c r="O197">
        <v>5050.3900000000003</v>
      </c>
      <c r="P197">
        <v>274</v>
      </c>
      <c r="Q197">
        <v>4.5999999999999996</v>
      </c>
      <c r="R197">
        <v>15</v>
      </c>
      <c r="S197" t="s">
        <v>37</v>
      </c>
      <c r="T197" t="s">
        <v>38</v>
      </c>
      <c r="U197" t="s">
        <v>39</v>
      </c>
      <c r="V197">
        <v>9.93</v>
      </c>
      <c r="W197">
        <v>76.260000000000005</v>
      </c>
      <c r="X197">
        <v>5244</v>
      </c>
      <c r="Y197">
        <v>10213</v>
      </c>
      <c r="Z197">
        <v>4453</v>
      </c>
      <c r="AA197">
        <v>5889</v>
      </c>
      <c r="AB197" t="s">
        <v>40</v>
      </c>
      <c r="AN197" s="3">
        <v>250</v>
      </c>
      <c r="AO197">
        <v>12975.75</v>
      </c>
      <c r="AQ197" s="6">
        <v>231</v>
      </c>
      <c r="AR197" s="5">
        <v>2951</v>
      </c>
    </row>
    <row r="198" spans="1:44" x14ac:dyDescent="0.3">
      <c r="A198">
        <v>1196</v>
      </c>
      <c r="B198" t="s">
        <v>41</v>
      </c>
      <c r="C198" t="s">
        <v>29</v>
      </c>
      <c r="D198" t="s">
        <v>42</v>
      </c>
      <c r="E198" t="s">
        <v>43</v>
      </c>
      <c r="F198" t="s">
        <v>44</v>
      </c>
      <c r="G198" s="1">
        <v>46133</v>
      </c>
      <c r="H198" t="s">
        <v>75</v>
      </c>
      <c r="I198" t="s">
        <v>80</v>
      </c>
      <c r="J198" t="s">
        <v>81</v>
      </c>
      <c r="K198" t="s">
        <v>47</v>
      </c>
      <c r="L198">
        <v>47</v>
      </c>
      <c r="M198">
        <v>14100</v>
      </c>
      <c r="N198">
        <v>9473.42</v>
      </c>
      <c r="O198">
        <v>4626.58</v>
      </c>
      <c r="P198">
        <v>217</v>
      </c>
      <c r="Q198">
        <v>4.7</v>
      </c>
      <c r="R198">
        <v>15</v>
      </c>
      <c r="S198" t="s">
        <v>64</v>
      </c>
      <c r="T198" t="s">
        <v>76</v>
      </c>
      <c r="U198" t="s">
        <v>39</v>
      </c>
      <c r="V198">
        <v>28.61</v>
      </c>
      <c r="W198">
        <v>77.2</v>
      </c>
      <c r="X198">
        <v>13923</v>
      </c>
      <c r="Y198">
        <v>17602</v>
      </c>
      <c r="Z198">
        <v>13240</v>
      </c>
      <c r="AA198">
        <v>17274</v>
      </c>
      <c r="AB198" t="s">
        <v>79</v>
      </c>
      <c r="AN198" s="3">
        <v>251</v>
      </c>
      <c r="AO198">
        <v>3420</v>
      </c>
      <c r="AQ198" s="6">
        <v>233</v>
      </c>
      <c r="AR198" s="5">
        <v>7675.5</v>
      </c>
    </row>
    <row r="199" spans="1:44" x14ac:dyDescent="0.3">
      <c r="A199">
        <v>1197</v>
      </c>
      <c r="B199" t="s">
        <v>60</v>
      </c>
      <c r="C199" t="s">
        <v>29</v>
      </c>
      <c r="D199" t="s">
        <v>61</v>
      </c>
      <c r="E199" t="s">
        <v>62</v>
      </c>
      <c r="F199" t="s">
        <v>32</v>
      </c>
      <c r="G199" s="1">
        <v>46130</v>
      </c>
      <c r="H199" t="s">
        <v>75</v>
      </c>
      <c r="I199" t="s">
        <v>34</v>
      </c>
      <c r="J199" t="s">
        <v>46</v>
      </c>
      <c r="K199" t="s">
        <v>47</v>
      </c>
      <c r="L199">
        <v>10</v>
      </c>
      <c r="M199">
        <v>2500</v>
      </c>
      <c r="N199">
        <v>1630.17</v>
      </c>
      <c r="O199">
        <v>869.83</v>
      </c>
      <c r="P199">
        <v>41</v>
      </c>
      <c r="Q199">
        <v>4.8</v>
      </c>
      <c r="R199">
        <v>0</v>
      </c>
      <c r="S199" t="s">
        <v>37</v>
      </c>
      <c r="T199" t="s">
        <v>49</v>
      </c>
      <c r="U199" t="s">
        <v>39</v>
      </c>
      <c r="V199">
        <v>13.08</v>
      </c>
      <c r="W199">
        <v>80.27</v>
      </c>
      <c r="X199">
        <v>14217</v>
      </c>
      <c r="Y199">
        <v>15843</v>
      </c>
      <c r="Z199">
        <v>12875</v>
      </c>
      <c r="AA199">
        <v>15007</v>
      </c>
      <c r="AB199" t="s">
        <v>40</v>
      </c>
      <c r="AN199" s="3">
        <v>252</v>
      </c>
      <c r="AO199">
        <v>13284</v>
      </c>
      <c r="AQ199" s="6">
        <v>234</v>
      </c>
      <c r="AR199" s="5">
        <v>7165.333333333333</v>
      </c>
    </row>
    <row r="200" spans="1:44" x14ac:dyDescent="0.3">
      <c r="A200">
        <v>1198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s="1">
        <v>46047</v>
      </c>
      <c r="H200" t="s">
        <v>45</v>
      </c>
      <c r="I200" t="s">
        <v>57</v>
      </c>
      <c r="J200" t="s">
        <v>58</v>
      </c>
      <c r="K200" t="s">
        <v>47</v>
      </c>
      <c r="L200">
        <v>45</v>
      </c>
      <c r="M200">
        <v>9990</v>
      </c>
      <c r="N200">
        <v>6483.19</v>
      </c>
      <c r="O200">
        <v>3506.81</v>
      </c>
      <c r="P200">
        <v>92</v>
      </c>
      <c r="Q200">
        <v>4.2</v>
      </c>
      <c r="R200">
        <v>5</v>
      </c>
      <c r="S200" t="s">
        <v>48</v>
      </c>
      <c r="T200" t="s">
        <v>38</v>
      </c>
      <c r="U200" t="s">
        <v>55</v>
      </c>
      <c r="V200">
        <v>12.97</v>
      </c>
      <c r="W200">
        <v>77.59</v>
      </c>
      <c r="X200">
        <v>7118</v>
      </c>
      <c r="Y200">
        <v>8858</v>
      </c>
      <c r="Z200">
        <v>5681</v>
      </c>
      <c r="AA200">
        <v>8062</v>
      </c>
      <c r="AB200" t="s">
        <v>56</v>
      </c>
      <c r="AN200" s="3">
        <v>253</v>
      </c>
      <c r="AO200">
        <v>9543.3333333333339</v>
      </c>
      <c r="AQ200" s="6">
        <v>235</v>
      </c>
      <c r="AR200" s="5">
        <v>16000</v>
      </c>
    </row>
    <row r="201" spans="1:44" x14ac:dyDescent="0.3">
      <c r="A201">
        <v>1199</v>
      </c>
      <c r="B201" t="s">
        <v>50</v>
      </c>
      <c r="C201" t="s">
        <v>29</v>
      </c>
      <c r="D201" t="s">
        <v>51</v>
      </c>
      <c r="E201" t="s">
        <v>52</v>
      </c>
      <c r="F201" t="s">
        <v>53</v>
      </c>
      <c r="G201" s="1">
        <v>46111</v>
      </c>
      <c r="H201" t="s">
        <v>71</v>
      </c>
      <c r="I201" t="s">
        <v>80</v>
      </c>
      <c r="J201" t="s">
        <v>82</v>
      </c>
      <c r="K201" t="s">
        <v>47</v>
      </c>
      <c r="L201">
        <v>47</v>
      </c>
      <c r="M201">
        <v>12455</v>
      </c>
      <c r="N201">
        <v>7229.29</v>
      </c>
      <c r="O201">
        <v>5225.71</v>
      </c>
      <c r="P201">
        <v>66</v>
      </c>
      <c r="Q201">
        <v>3.5</v>
      </c>
      <c r="R201">
        <v>0</v>
      </c>
      <c r="S201" t="s">
        <v>37</v>
      </c>
      <c r="T201" t="s">
        <v>49</v>
      </c>
      <c r="U201" t="s">
        <v>39</v>
      </c>
      <c r="V201">
        <v>19.07</v>
      </c>
      <c r="W201">
        <v>72.87</v>
      </c>
      <c r="X201">
        <v>12558</v>
      </c>
      <c r="Y201">
        <v>16781</v>
      </c>
      <c r="Z201">
        <v>10946</v>
      </c>
      <c r="AA201">
        <v>13143</v>
      </c>
      <c r="AB201" t="s">
        <v>63</v>
      </c>
      <c r="AN201" s="3">
        <v>254</v>
      </c>
      <c r="AO201">
        <v>3208</v>
      </c>
      <c r="AQ201" s="6">
        <v>236</v>
      </c>
      <c r="AR201" s="5">
        <v>9588.3333333333339</v>
      </c>
    </row>
    <row r="202" spans="1:44" x14ac:dyDescent="0.3">
      <c r="A202">
        <v>1200</v>
      </c>
      <c r="B202" t="s">
        <v>41</v>
      </c>
      <c r="C202" t="s">
        <v>29</v>
      </c>
      <c r="D202" t="s">
        <v>42</v>
      </c>
      <c r="E202" t="s">
        <v>43</v>
      </c>
      <c r="F202" t="s">
        <v>44</v>
      </c>
      <c r="G202" s="1">
        <v>46081</v>
      </c>
      <c r="H202" t="s">
        <v>33</v>
      </c>
      <c r="I202" t="s">
        <v>34</v>
      </c>
      <c r="J202" t="s">
        <v>46</v>
      </c>
      <c r="K202" t="s">
        <v>73</v>
      </c>
      <c r="L202">
        <v>56</v>
      </c>
      <c r="M202">
        <v>21560</v>
      </c>
      <c r="N202">
        <v>13161.9</v>
      </c>
      <c r="O202">
        <v>8398.1</v>
      </c>
      <c r="P202">
        <v>109</v>
      </c>
      <c r="Q202">
        <v>4.5999999999999996</v>
      </c>
      <c r="R202">
        <v>15</v>
      </c>
      <c r="S202" t="s">
        <v>64</v>
      </c>
      <c r="T202" t="s">
        <v>38</v>
      </c>
      <c r="U202" t="s">
        <v>55</v>
      </c>
      <c r="V202">
        <v>28.61</v>
      </c>
      <c r="W202">
        <v>77.2</v>
      </c>
      <c r="X202">
        <v>13742</v>
      </c>
      <c r="Y202">
        <v>18558</v>
      </c>
      <c r="Z202">
        <v>11975</v>
      </c>
      <c r="AA202">
        <v>12412</v>
      </c>
      <c r="AB202" t="s">
        <v>63</v>
      </c>
      <c r="AN202" s="3">
        <v>255</v>
      </c>
      <c r="AO202">
        <v>10133</v>
      </c>
      <c r="AQ202" s="6">
        <v>237</v>
      </c>
      <c r="AR202" s="5">
        <v>17492.5</v>
      </c>
    </row>
    <row r="203" spans="1:44" x14ac:dyDescent="0.3">
      <c r="A203">
        <v>1201</v>
      </c>
      <c r="B203" t="s">
        <v>60</v>
      </c>
      <c r="C203" t="s">
        <v>29</v>
      </c>
      <c r="D203" t="s">
        <v>61</v>
      </c>
      <c r="E203" t="s">
        <v>62</v>
      </c>
      <c r="F203" t="s">
        <v>32</v>
      </c>
      <c r="G203" s="1">
        <v>46129</v>
      </c>
      <c r="H203" t="s">
        <v>75</v>
      </c>
      <c r="I203" t="s">
        <v>34</v>
      </c>
      <c r="J203" t="s">
        <v>77</v>
      </c>
      <c r="K203" t="s">
        <v>36</v>
      </c>
      <c r="L203">
        <v>46</v>
      </c>
      <c r="M203">
        <v>12282</v>
      </c>
      <c r="N203">
        <v>7054.75</v>
      </c>
      <c r="O203">
        <v>5227.25</v>
      </c>
      <c r="P203">
        <v>47</v>
      </c>
      <c r="Q203">
        <v>4</v>
      </c>
      <c r="R203">
        <v>0</v>
      </c>
      <c r="S203" t="s">
        <v>64</v>
      </c>
      <c r="T203" t="s">
        <v>49</v>
      </c>
      <c r="U203" t="s">
        <v>74</v>
      </c>
      <c r="V203">
        <v>13.08</v>
      </c>
      <c r="W203">
        <v>80.27</v>
      </c>
      <c r="X203">
        <v>14273</v>
      </c>
      <c r="Y203">
        <v>16388</v>
      </c>
      <c r="Z203">
        <v>12903</v>
      </c>
      <c r="AA203">
        <v>14821</v>
      </c>
      <c r="AB203" t="s">
        <v>63</v>
      </c>
      <c r="AN203" s="3">
        <v>256</v>
      </c>
      <c r="AO203">
        <v>9591</v>
      </c>
      <c r="AQ203" s="6">
        <v>238</v>
      </c>
      <c r="AR203" s="5">
        <v>10867.666666666666</v>
      </c>
    </row>
    <row r="204" spans="1:44" x14ac:dyDescent="0.3">
      <c r="A204">
        <v>1202</v>
      </c>
      <c r="B204" t="s">
        <v>50</v>
      </c>
      <c r="C204" t="s">
        <v>29</v>
      </c>
      <c r="D204" t="s">
        <v>51</v>
      </c>
      <c r="E204" t="s">
        <v>52</v>
      </c>
      <c r="F204" t="s">
        <v>53</v>
      </c>
      <c r="G204" s="1">
        <v>46051</v>
      </c>
      <c r="H204" t="s">
        <v>45</v>
      </c>
      <c r="I204" t="s">
        <v>34</v>
      </c>
      <c r="J204" t="s">
        <v>46</v>
      </c>
      <c r="K204" t="s">
        <v>78</v>
      </c>
      <c r="L204">
        <v>26</v>
      </c>
      <c r="M204">
        <v>5590</v>
      </c>
      <c r="N204">
        <v>4009.31</v>
      </c>
      <c r="O204">
        <v>1580.69</v>
      </c>
      <c r="P204">
        <v>140</v>
      </c>
      <c r="Q204">
        <v>4.0999999999999996</v>
      </c>
      <c r="R204">
        <v>15</v>
      </c>
      <c r="S204" t="s">
        <v>64</v>
      </c>
      <c r="T204" t="s">
        <v>76</v>
      </c>
      <c r="U204" t="s">
        <v>39</v>
      </c>
      <c r="V204">
        <v>19.07</v>
      </c>
      <c r="W204">
        <v>72.87</v>
      </c>
      <c r="X204">
        <v>6787</v>
      </c>
      <c r="Y204">
        <v>11155</v>
      </c>
      <c r="Z204">
        <v>6213</v>
      </c>
      <c r="AA204">
        <v>7258</v>
      </c>
      <c r="AB204" t="s">
        <v>56</v>
      </c>
      <c r="AN204" s="3">
        <v>257</v>
      </c>
      <c r="AO204">
        <v>10819</v>
      </c>
      <c r="AQ204" s="6">
        <v>239</v>
      </c>
      <c r="AR204" s="5">
        <v>8542</v>
      </c>
    </row>
    <row r="205" spans="1:44" x14ac:dyDescent="0.3">
      <c r="A205">
        <v>1203</v>
      </c>
      <c r="B205" t="s">
        <v>50</v>
      </c>
      <c r="C205" t="s">
        <v>29</v>
      </c>
      <c r="D205" t="s">
        <v>51</v>
      </c>
      <c r="E205" t="s">
        <v>52</v>
      </c>
      <c r="F205" t="s">
        <v>53</v>
      </c>
      <c r="G205" s="1">
        <v>46110</v>
      </c>
      <c r="H205" t="s">
        <v>71</v>
      </c>
      <c r="I205" t="s">
        <v>57</v>
      </c>
      <c r="J205" t="s">
        <v>58</v>
      </c>
      <c r="K205" t="s">
        <v>78</v>
      </c>
      <c r="L205">
        <v>11</v>
      </c>
      <c r="M205">
        <v>4213</v>
      </c>
      <c r="N205">
        <v>2583.87</v>
      </c>
      <c r="O205">
        <v>1629.13</v>
      </c>
      <c r="P205">
        <v>213</v>
      </c>
      <c r="Q205">
        <v>4.5999999999999996</v>
      </c>
      <c r="R205">
        <v>10</v>
      </c>
      <c r="S205" t="s">
        <v>37</v>
      </c>
      <c r="T205" t="s">
        <v>49</v>
      </c>
      <c r="U205" t="s">
        <v>74</v>
      </c>
      <c r="V205">
        <v>19.07</v>
      </c>
      <c r="W205">
        <v>72.87</v>
      </c>
      <c r="X205">
        <v>12331</v>
      </c>
      <c r="Y205">
        <v>17202</v>
      </c>
      <c r="Z205">
        <v>10571</v>
      </c>
      <c r="AA205">
        <v>10833</v>
      </c>
      <c r="AB205" t="s">
        <v>79</v>
      </c>
      <c r="AN205" s="3">
        <v>258</v>
      </c>
      <c r="AO205">
        <v>15593.5</v>
      </c>
      <c r="AQ205" s="6">
        <v>240</v>
      </c>
      <c r="AR205" s="5">
        <v>14060</v>
      </c>
    </row>
    <row r="206" spans="1:44" x14ac:dyDescent="0.3">
      <c r="A206">
        <v>1204</v>
      </c>
      <c r="B206" t="s">
        <v>50</v>
      </c>
      <c r="C206" t="s">
        <v>29</v>
      </c>
      <c r="D206" t="s">
        <v>51</v>
      </c>
      <c r="E206" t="s">
        <v>52</v>
      </c>
      <c r="F206" t="s">
        <v>53</v>
      </c>
      <c r="G206" s="1">
        <v>46112</v>
      </c>
      <c r="H206" t="s">
        <v>71</v>
      </c>
      <c r="I206" t="s">
        <v>80</v>
      </c>
      <c r="J206" t="s">
        <v>81</v>
      </c>
      <c r="K206" t="s">
        <v>73</v>
      </c>
      <c r="L206">
        <v>35</v>
      </c>
      <c r="M206">
        <v>11375</v>
      </c>
      <c r="N206">
        <v>7905.19</v>
      </c>
      <c r="O206">
        <v>3469.81</v>
      </c>
      <c r="P206">
        <v>166</v>
      </c>
      <c r="Q206">
        <v>3.8</v>
      </c>
      <c r="R206">
        <v>10</v>
      </c>
      <c r="S206" t="s">
        <v>48</v>
      </c>
      <c r="T206" t="s">
        <v>49</v>
      </c>
      <c r="U206" t="s">
        <v>39</v>
      </c>
      <c r="V206">
        <v>19.07</v>
      </c>
      <c r="W206">
        <v>72.87</v>
      </c>
      <c r="X206">
        <v>6715</v>
      </c>
      <c r="Y206">
        <v>9908</v>
      </c>
      <c r="Z206">
        <v>5778</v>
      </c>
      <c r="AA206">
        <v>9776</v>
      </c>
      <c r="AB206" t="s">
        <v>79</v>
      </c>
      <c r="AN206" s="3">
        <v>259</v>
      </c>
      <c r="AO206">
        <v>9041.5</v>
      </c>
      <c r="AQ206" s="6">
        <v>241</v>
      </c>
      <c r="AR206" s="5">
        <v>4730</v>
      </c>
    </row>
    <row r="207" spans="1:44" x14ac:dyDescent="0.3">
      <c r="A207">
        <v>1205</v>
      </c>
      <c r="B207" t="s">
        <v>41</v>
      </c>
      <c r="C207" t="s">
        <v>29</v>
      </c>
      <c r="D207" t="s">
        <v>42</v>
      </c>
      <c r="E207" t="s">
        <v>43</v>
      </c>
      <c r="F207" t="s">
        <v>44</v>
      </c>
      <c r="G207" s="1">
        <v>46071</v>
      </c>
      <c r="H207" t="s">
        <v>33</v>
      </c>
      <c r="I207" t="s">
        <v>80</v>
      </c>
      <c r="J207" t="s">
        <v>81</v>
      </c>
      <c r="K207" t="s">
        <v>47</v>
      </c>
      <c r="L207">
        <v>21</v>
      </c>
      <c r="M207">
        <v>8694</v>
      </c>
      <c r="N207">
        <v>6410.25</v>
      </c>
      <c r="O207">
        <v>2283.75</v>
      </c>
      <c r="P207">
        <v>276</v>
      </c>
      <c r="Q207">
        <v>4.3</v>
      </c>
      <c r="R207">
        <v>10</v>
      </c>
      <c r="S207" t="s">
        <v>37</v>
      </c>
      <c r="T207" t="s">
        <v>76</v>
      </c>
      <c r="U207" t="s">
        <v>74</v>
      </c>
      <c r="V207">
        <v>28.61</v>
      </c>
      <c r="W207">
        <v>77.2</v>
      </c>
      <c r="X207">
        <v>8166</v>
      </c>
      <c r="Y207">
        <v>13165</v>
      </c>
      <c r="Z207">
        <v>6374</v>
      </c>
      <c r="AA207">
        <v>6720</v>
      </c>
      <c r="AB207" t="s">
        <v>79</v>
      </c>
      <c r="AN207" s="3">
        <v>260</v>
      </c>
      <c r="AO207">
        <v>14644.5</v>
      </c>
      <c r="AQ207" s="6">
        <v>242</v>
      </c>
      <c r="AR207" s="5">
        <v>2178</v>
      </c>
    </row>
    <row r="208" spans="1:44" x14ac:dyDescent="0.3">
      <c r="A208">
        <v>1206</v>
      </c>
      <c r="B208" t="s">
        <v>50</v>
      </c>
      <c r="C208" t="s">
        <v>29</v>
      </c>
      <c r="D208" t="s">
        <v>51</v>
      </c>
      <c r="E208" t="s">
        <v>52</v>
      </c>
      <c r="F208" t="s">
        <v>53</v>
      </c>
      <c r="G208" s="1">
        <v>46143</v>
      </c>
      <c r="H208" t="s">
        <v>54</v>
      </c>
      <c r="I208" t="s">
        <v>34</v>
      </c>
      <c r="J208" t="s">
        <v>35</v>
      </c>
      <c r="K208" t="s">
        <v>59</v>
      </c>
      <c r="L208">
        <v>28</v>
      </c>
      <c r="M208">
        <v>7112</v>
      </c>
      <c r="N208">
        <v>5555.48</v>
      </c>
      <c r="O208">
        <v>1556.52</v>
      </c>
      <c r="P208">
        <v>201</v>
      </c>
      <c r="Q208">
        <v>3.9</v>
      </c>
      <c r="R208">
        <v>5</v>
      </c>
      <c r="S208" t="s">
        <v>37</v>
      </c>
      <c r="T208" t="s">
        <v>76</v>
      </c>
      <c r="U208" t="s">
        <v>55</v>
      </c>
      <c r="V208">
        <v>19.07</v>
      </c>
      <c r="W208">
        <v>72.87</v>
      </c>
      <c r="X208">
        <v>7623</v>
      </c>
      <c r="Y208">
        <v>10698</v>
      </c>
      <c r="Z208">
        <v>6518</v>
      </c>
      <c r="AA208">
        <v>10150</v>
      </c>
      <c r="AB208" t="s">
        <v>56</v>
      </c>
      <c r="AN208" s="3">
        <v>261</v>
      </c>
      <c r="AO208">
        <v>17499</v>
      </c>
      <c r="AQ208" s="6">
        <v>244</v>
      </c>
      <c r="AR208" s="5">
        <v>9012.5</v>
      </c>
    </row>
    <row r="209" spans="1:44" x14ac:dyDescent="0.3">
      <c r="A209">
        <v>1207</v>
      </c>
      <c r="B209" t="s">
        <v>60</v>
      </c>
      <c r="C209" t="s">
        <v>29</v>
      </c>
      <c r="D209" t="s">
        <v>61</v>
      </c>
      <c r="E209" t="s">
        <v>62</v>
      </c>
      <c r="F209" t="s">
        <v>32</v>
      </c>
      <c r="G209" s="1">
        <v>46128</v>
      </c>
      <c r="H209" t="s">
        <v>75</v>
      </c>
      <c r="I209" t="s">
        <v>80</v>
      </c>
      <c r="J209" t="s">
        <v>82</v>
      </c>
      <c r="K209" t="s">
        <v>73</v>
      </c>
      <c r="L209">
        <v>29</v>
      </c>
      <c r="M209">
        <v>7743</v>
      </c>
      <c r="N209">
        <v>4424.0200000000004</v>
      </c>
      <c r="O209">
        <v>3318.98</v>
      </c>
      <c r="P209">
        <v>89</v>
      </c>
      <c r="Q209">
        <v>4.4000000000000004</v>
      </c>
      <c r="R209">
        <v>15</v>
      </c>
      <c r="S209" t="s">
        <v>37</v>
      </c>
      <c r="T209" t="s">
        <v>76</v>
      </c>
      <c r="U209" t="s">
        <v>39</v>
      </c>
      <c r="V209">
        <v>13.08</v>
      </c>
      <c r="W209">
        <v>80.27</v>
      </c>
      <c r="X209">
        <v>13870</v>
      </c>
      <c r="Y209">
        <v>17120</v>
      </c>
      <c r="Z209">
        <v>12135</v>
      </c>
      <c r="AA209">
        <v>14084</v>
      </c>
      <c r="AB209" t="s">
        <v>40</v>
      </c>
      <c r="AN209" s="3">
        <v>263</v>
      </c>
      <c r="AO209">
        <v>7845.333333333333</v>
      </c>
      <c r="AQ209" s="6">
        <v>245</v>
      </c>
      <c r="AR209" s="5">
        <v>2807</v>
      </c>
    </row>
    <row r="210" spans="1:44" x14ac:dyDescent="0.3">
      <c r="A210">
        <v>1208</v>
      </c>
      <c r="B210" t="s">
        <v>50</v>
      </c>
      <c r="C210" t="s">
        <v>29</v>
      </c>
      <c r="D210" t="s">
        <v>51</v>
      </c>
      <c r="E210" t="s">
        <v>52</v>
      </c>
      <c r="F210" t="s">
        <v>53</v>
      </c>
      <c r="G210" s="1">
        <v>46139</v>
      </c>
      <c r="H210" t="s">
        <v>75</v>
      </c>
      <c r="I210" t="s">
        <v>57</v>
      </c>
      <c r="J210" t="s">
        <v>58</v>
      </c>
      <c r="K210" t="s">
        <v>36</v>
      </c>
      <c r="L210">
        <v>44</v>
      </c>
      <c r="M210">
        <v>9284</v>
      </c>
      <c r="N210">
        <v>7235.96</v>
      </c>
      <c r="O210">
        <v>2048.04</v>
      </c>
      <c r="P210">
        <v>55</v>
      </c>
      <c r="Q210">
        <v>3.9</v>
      </c>
      <c r="R210">
        <v>15</v>
      </c>
      <c r="S210" t="s">
        <v>48</v>
      </c>
      <c r="T210" t="s">
        <v>76</v>
      </c>
      <c r="U210" t="s">
        <v>39</v>
      </c>
      <c r="V210">
        <v>19.07</v>
      </c>
      <c r="W210">
        <v>72.87</v>
      </c>
      <c r="X210">
        <v>5082</v>
      </c>
      <c r="Y210">
        <v>8813</v>
      </c>
      <c r="Z210">
        <v>3786</v>
      </c>
      <c r="AA210">
        <v>6408</v>
      </c>
      <c r="AB210" t="s">
        <v>40</v>
      </c>
      <c r="AN210" s="3">
        <v>264</v>
      </c>
      <c r="AO210">
        <v>6512</v>
      </c>
      <c r="AQ210" s="6">
        <v>246</v>
      </c>
      <c r="AR210" s="5">
        <v>14769.4</v>
      </c>
    </row>
    <row r="211" spans="1:44" x14ac:dyDescent="0.3">
      <c r="A211">
        <v>1209</v>
      </c>
      <c r="B211" t="s">
        <v>50</v>
      </c>
      <c r="C211" t="s">
        <v>29</v>
      </c>
      <c r="D211" t="s">
        <v>51</v>
      </c>
      <c r="E211" t="s">
        <v>52</v>
      </c>
      <c r="F211" t="s">
        <v>53</v>
      </c>
      <c r="G211" s="1">
        <v>46190</v>
      </c>
      <c r="H211" t="s">
        <v>68</v>
      </c>
      <c r="I211" t="s">
        <v>57</v>
      </c>
      <c r="J211" t="s">
        <v>58</v>
      </c>
      <c r="K211" t="s">
        <v>36</v>
      </c>
      <c r="L211">
        <v>36</v>
      </c>
      <c r="M211">
        <v>7380</v>
      </c>
      <c r="N211">
        <v>5329.23</v>
      </c>
      <c r="O211">
        <v>2050.77</v>
      </c>
      <c r="P211">
        <v>172</v>
      </c>
      <c r="Q211">
        <v>4.7</v>
      </c>
      <c r="R211">
        <v>10</v>
      </c>
      <c r="S211" t="s">
        <v>64</v>
      </c>
      <c r="T211" t="s">
        <v>38</v>
      </c>
      <c r="U211" t="s">
        <v>74</v>
      </c>
      <c r="V211">
        <v>19.07</v>
      </c>
      <c r="W211">
        <v>72.87</v>
      </c>
      <c r="X211">
        <v>12330</v>
      </c>
      <c r="Y211">
        <v>17204</v>
      </c>
      <c r="Z211">
        <v>11564</v>
      </c>
      <c r="AA211">
        <v>14686</v>
      </c>
      <c r="AB211" t="s">
        <v>63</v>
      </c>
      <c r="AN211" s="3">
        <v>265</v>
      </c>
      <c r="AO211">
        <v>15780</v>
      </c>
      <c r="AQ211" s="6">
        <v>248</v>
      </c>
      <c r="AR211" s="5">
        <v>11832</v>
      </c>
    </row>
    <row r="212" spans="1:44" x14ac:dyDescent="0.3">
      <c r="A212">
        <v>1210</v>
      </c>
      <c r="B212" t="s">
        <v>50</v>
      </c>
      <c r="C212" t="s">
        <v>29</v>
      </c>
      <c r="D212" t="s">
        <v>51</v>
      </c>
      <c r="E212" t="s">
        <v>52</v>
      </c>
      <c r="F212" t="s">
        <v>53</v>
      </c>
      <c r="G212" s="1">
        <v>46033</v>
      </c>
      <c r="H212" t="s">
        <v>45</v>
      </c>
      <c r="I212" t="s">
        <v>57</v>
      </c>
      <c r="J212" t="s">
        <v>58</v>
      </c>
      <c r="K212" t="s">
        <v>59</v>
      </c>
      <c r="L212">
        <v>27</v>
      </c>
      <c r="M212">
        <v>11340</v>
      </c>
      <c r="N212">
        <v>6957.87</v>
      </c>
      <c r="O212">
        <v>4382.13</v>
      </c>
      <c r="P212">
        <v>189</v>
      </c>
      <c r="Q212">
        <v>3.6</v>
      </c>
      <c r="R212">
        <v>10</v>
      </c>
      <c r="S212" t="s">
        <v>37</v>
      </c>
      <c r="T212" t="s">
        <v>49</v>
      </c>
      <c r="U212" t="s">
        <v>55</v>
      </c>
      <c r="V212">
        <v>19.07</v>
      </c>
      <c r="W212">
        <v>72.87</v>
      </c>
      <c r="X212">
        <v>9864</v>
      </c>
      <c r="Y212">
        <v>12028</v>
      </c>
      <c r="Z212">
        <v>9050</v>
      </c>
      <c r="AA212">
        <v>10226</v>
      </c>
      <c r="AB212" t="s">
        <v>79</v>
      </c>
      <c r="AN212" s="3">
        <v>266</v>
      </c>
      <c r="AO212">
        <v>8250</v>
      </c>
      <c r="AQ212" s="6">
        <v>249</v>
      </c>
      <c r="AR212" s="5">
        <v>2392</v>
      </c>
    </row>
    <row r="213" spans="1:44" x14ac:dyDescent="0.3">
      <c r="A213">
        <v>1211</v>
      </c>
      <c r="B213" t="s">
        <v>60</v>
      </c>
      <c r="C213" t="s">
        <v>29</v>
      </c>
      <c r="D213" t="s">
        <v>61</v>
      </c>
      <c r="E213" t="s">
        <v>62</v>
      </c>
      <c r="F213" t="s">
        <v>32</v>
      </c>
      <c r="G213" s="1">
        <v>46101</v>
      </c>
      <c r="H213" t="s">
        <v>71</v>
      </c>
      <c r="I213" t="s">
        <v>57</v>
      </c>
      <c r="J213" t="s">
        <v>83</v>
      </c>
      <c r="K213" t="s">
        <v>78</v>
      </c>
      <c r="L213">
        <v>40</v>
      </c>
      <c r="M213">
        <v>13440</v>
      </c>
      <c r="N213">
        <v>9618.15</v>
      </c>
      <c r="O213">
        <v>3821.85</v>
      </c>
      <c r="P213">
        <v>298</v>
      </c>
      <c r="Q213">
        <v>4.3</v>
      </c>
      <c r="R213">
        <v>0</v>
      </c>
      <c r="S213" t="s">
        <v>48</v>
      </c>
      <c r="T213" t="s">
        <v>76</v>
      </c>
      <c r="U213" t="s">
        <v>74</v>
      </c>
      <c r="V213">
        <v>13.08</v>
      </c>
      <c r="W213">
        <v>80.27</v>
      </c>
      <c r="X213">
        <v>11005</v>
      </c>
      <c r="Y213">
        <v>15643</v>
      </c>
      <c r="Z213">
        <v>9060</v>
      </c>
      <c r="AA213">
        <v>9492</v>
      </c>
      <c r="AB213" t="s">
        <v>56</v>
      </c>
      <c r="AN213" s="3">
        <v>269</v>
      </c>
      <c r="AO213">
        <v>9009</v>
      </c>
      <c r="AQ213" s="6">
        <v>250</v>
      </c>
      <c r="AR213" s="5">
        <v>12975.75</v>
      </c>
    </row>
    <row r="214" spans="1:44" x14ac:dyDescent="0.3">
      <c r="A214">
        <v>1212</v>
      </c>
      <c r="B214" t="s">
        <v>60</v>
      </c>
      <c r="C214" t="s">
        <v>29</v>
      </c>
      <c r="D214" t="s">
        <v>61</v>
      </c>
      <c r="E214" t="s">
        <v>62</v>
      </c>
      <c r="F214" t="s">
        <v>32</v>
      </c>
      <c r="G214" s="1">
        <v>46078</v>
      </c>
      <c r="H214" t="s">
        <v>33</v>
      </c>
      <c r="I214" t="s">
        <v>69</v>
      </c>
      <c r="J214" t="s">
        <v>72</v>
      </c>
      <c r="K214" t="s">
        <v>73</v>
      </c>
      <c r="L214">
        <v>45</v>
      </c>
      <c r="M214">
        <v>12870</v>
      </c>
      <c r="N214">
        <v>8171.46</v>
      </c>
      <c r="O214">
        <v>4698.54</v>
      </c>
      <c r="P214">
        <v>295</v>
      </c>
      <c r="Q214">
        <v>3.8</v>
      </c>
      <c r="R214">
        <v>5</v>
      </c>
      <c r="S214" t="s">
        <v>48</v>
      </c>
      <c r="T214" t="s">
        <v>76</v>
      </c>
      <c r="U214" t="s">
        <v>55</v>
      </c>
      <c r="V214">
        <v>13.08</v>
      </c>
      <c r="W214">
        <v>80.27</v>
      </c>
      <c r="X214">
        <v>8264</v>
      </c>
      <c r="Y214">
        <v>11901</v>
      </c>
      <c r="Z214">
        <v>6724</v>
      </c>
      <c r="AA214">
        <v>10346</v>
      </c>
      <c r="AB214" t="s">
        <v>56</v>
      </c>
      <c r="AN214" s="3">
        <v>270</v>
      </c>
      <c r="AO214">
        <v>7787.5</v>
      </c>
      <c r="AQ214" s="6">
        <v>251</v>
      </c>
      <c r="AR214" s="5">
        <v>3420</v>
      </c>
    </row>
    <row r="215" spans="1:44" x14ac:dyDescent="0.3">
      <c r="A215">
        <v>1213</v>
      </c>
      <c r="B215" t="s">
        <v>65</v>
      </c>
      <c r="C215" t="s">
        <v>29</v>
      </c>
      <c r="D215" t="s">
        <v>66</v>
      </c>
      <c r="E215" t="s">
        <v>67</v>
      </c>
      <c r="F215" t="s">
        <v>32</v>
      </c>
      <c r="G215" s="1">
        <v>46077</v>
      </c>
      <c r="H215" t="s">
        <v>33</v>
      </c>
      <c r="I215" t="s">
        <v>69</v>
      </c>
      <c r="J215" t="s">
        <v>70</v>
      </c>
      <c r="K215" t="s">
        <v>59</v>
      </c>
      <c r="L215">
        <v>51</v>
      </c>
      <c r="M215">
        <v>10047</v>
      </c>
      <c r="N215">
        <v>5730.56</v>
      </c>
      <c r="O215">
        <v>4316.4399999999996</v>
      </c>
      <c r="P215">
        <v>298</v>
      </c>
      <c r="Q215">
        <v>4</v>
      </c>
      <c r="R215">
        <v>10</v>
      </c>
      <c r="S215" t="s">
        <v>37</v>
      </c>
      <c r="T215" t="s">
        <v>49</v>
      </c>
      <c r="U215" t="s">
        <v>74</v>
      </c>
      <c r="V215">
        <v>9.93</v>
      </c>
      <c r="W215">
        <v>76.260000000000005</v>
      </c>
      <c r="X215">
        <v>10758</v>
      </c>
      <c r="Y215">
        <v>14454</v>
      </c>
      <c r="Z215">
        <v>9911</v>
      </c>
      <c r="AA215">
        <v>11007</v>
      </c>
      <c r="AB215" t="s">
        <v>40</v>
      </c>
      <c r="AN215" s="3">
        <v>271</v>
      </c>
      <c r="AO215">
        <v>9838.6666666666661</v>
      </c>
      <c r="AQ215" s="6">
        <v>252</v>
      </c>
      <c r="AR215" s="5">
        <v>13284</v>
      </c>
    </row>
    <row r="216" spans="1:44" x14ac:dyDescent="0.3">
      <c r="A216">
        <v>1214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s="1">
        <v>46081</v>
      </c>
      <c r="H216" t="s">
        <v>33</v>
      </c>
      <c r="I216" t="s">
        <v>57</v>
      </c>
      <c r="J216" t="s">
        <v>58</v>
      </c>
      <c r="K216" t="s">
        <v>78</v>
      </c>
      <c r="L216">
        <v>17</v>
      </c>
      <c r="M216">
        <v>6919</v>
      </c>
      <c r="N216">
        <v>5169.6000000000004</v>
      </c>
      <c r="O216">
        <v>1749.4</v>
      </c>
      <c r="P216">
        <v>162</v>
      </c>
      <c r="Q216">
        <v>4.0999999999999996</v>
      </c>
      <c r="R216">
        <v>0</v>
      </c>
      <c r="S216" t="s">
        <v>48</v>
      </c>
      <c r="T216" t="s">
        <v>38</v>
      </c>
      <c r="U216" t="s">
        <v>74</v>
      </c>
      <c r="V216">
        <v>12.97</v>
      </c>
      <c r="W216">
        <v>77.59</v>
      </c>
      <c r="X216">
        <v>10157</v>
      </c>
      <c r="Y216">
        <v>13330</v>
      </c>
      <c r="Z216">
        <v>8804</v>
      </c>
      <c r="AA216">
        <v>9428</v>
      </c>
      <c r="AB216" t="s">
        <v>63</v>
      </c>
      <c r="AN216" s="3">
        <v>272</v>
      </c>
      <c r="AO216">
        <v>5106</v>
      </c>
      <c r="AQ216" s="6">
        <v>253</v>
      </c>
      <c r="AR216" s="5">
        <v>9543.3333333333339</v>
      </c>
    </row>
    <row r="217" spans="1:44" x14ac:dyDescent="0.3">
      <c r="A217">
        <v>1215</v>
      </c>
      <c r="B217" t="s">
        <v>65</v>
      </c>
      <c r="C217" t="s">
        <v>29</v>
      </c>
      <c r="D217" t="s">
        <v>66</v>
      </c>
      <c r="E217" t="s">
        <v>67</v>
      </c>
      <c r="F217" t="s">
        <v>32</v>
      </c>
      <c r="G217" s="1">
        <v>46129</v>
      </c>
      <c r="H217" t="s">
        <v>75</v>
      </c>
      <c r="I217" t="s">
        <v>80</v>
      </c>
      <c r="J217" t="s">
        <v>82</v>
      </c>
      <c r="K217" t="s">
        <v>78</v>
      </c>
      <c r="L217">
        <v>5</v>
      </c>
      <c r="M217">
        <v>2055</v>
      </c>
      <c r="N217">
        <v>1579.45</v>
      </c>
      <c r="O217">
        <v>475.55</v>
      </c>
      <c r="P217">
        <v>44</v>
      </c>
      <c r="Q217">
        <v>4.8</v>
      </c>
      <c r="R217">
        <v>10</v>
      </c>
      <c r="S217" t="s">
        <v>37</v>
      </c>
      <c r="T217" t="s">
        <v>49</v>
      </c>
      <c r="U217" t="s">
        <v>39</v>
      </c>
      <c r="V217">
        <v>9.93</v>
      </c>
      <c r="W217">
        <v>76.260000000000005</v>
      </c>
      <c r="X217">
        <v>10687</v>
      </c>
      <c r="Y217">
        <v>11890</v>
      </c>
      <c r="Z217">
        <v>9469</v>
      </c>
      <c r="AA217">
        <v>11831</v>
      </c>
      <c r="AB217" t="s">
        <v>79</v>
      </c>
      <c r="AN217" s="3">
        <v>273</v>
      </c>
      <c r="AO217">
        <v>8572.25</v>
      </c>
      <c r="AQ217" s="6">
        <v>254</v>
      </c>
      <c r="AR217" s="5">
        <v>3208</v>
      </c>
    </row>
    <row r="218" spans="1:44" x14ac:dyDescent="0.3">
      <c r="A218">
        <v>1216</v>
      </c>
      <c r="B218" t="s">
        <v>60</v>
      </c>
      <c r="C218" t="s">
        <v>29</v>
      </c>
      <c r="D218" t="s">
        <v>61</v>
      </c>
      <c r="E218" t="s">
        <v>62</v>
      </c>
      <c r="F218" t="s">
        <v>32</v>
      </c>
      <c r="G218" s="1">
        <v>46048</v>
      </c>
      <c r="H218" t="s">
        <v>45</v>
      </c>
      <c r="I218" t="s">
        <v>57</v>
      </c>
      <c r="J218" t="s">
        <v>83</v>
      </c>
      <c r="K218" t="s">
        <v>36</v>
      </c>
      <c r="L218">
        <v>27</v>
      </c>
      <c r="M218">
        <v>6615</v>
      </c>
      <c r="N218">
        <v>3731.59</v>
      </c>
      <c r="O218">
        <v>2883.41</v>
      </c>
      <c r="P218">
        <v>46</v>
      </c>
      <c r="Q218">
        <v>3.8</v>
      </c>
      <c r="R218">
        <v>10</v>
      </c>
      <c r="S218" t="s">
        <v>48</v>
      </c>
      <c r="T218" t="s">
        <v>38</v>
      </c>
      <c r="U218" t="s">
        <v>74</v>
      </c>
      <c r="V218">
        <v>13.08</v>
      </c>
      <c r="W218">
        <v>80.27</v>
      </c>
      <c r="X218">
        <v>7112</v>
      </c>
      <c r="Y218">
        <v>8857</v>
      </c>
      <c r="Z218">
        <v>5859</v>
      </c>
      <c r="AA218">
        <v>8363</v>
      </c>
      <c r="AB218" t="s">
        <v>56</v>
      </c>
      <c r="AN218" s="3">
        <v>274</v>
      </c>
      <c r="AO218">
        <v>13052.75</v>
      </c>
      <c r="AQ218" s="6">
        <v>255</v>
      </c>
      <c r="AR218" s="5">
        <v>10133</v>
      </c>
    </row>
    <row r="219" spans="1:44" x14ac:dyDescent="0.3">
      <c r="A219">
        <v>1217</v>
      </c>
      <c r="B219" t="s">
        <v>50</v>
      </c>
      <c r="C219" t="s">
        <v>29</v>
      </c>
      <c r="D219" t="s">
        <v>51</v>
      </c>
      <c r="E219" t="s">
        <v>52</v>
      </c>
      <c r="F219" t="s">
        <v>53</v>
      </c>
      <c r="G219" s="1">
        <v>46039</v>
      </c>
      <c r="H219" t="s">
        <v>45</v>
      </c>
      <c r="I219" t="s">
        <v>69</v>
      </c>
      <c r="J219" t="s">
        <v>72</v>
      </c>
      <c r="K219" t="s">
        <v>59</v>
      </c>
      <c r="L219">
        <v>26</v>
      </c>
      <c r="M219">
        <v>7436</v>
      </c>
      <c r="N219">
        <v>4291.72</v>
      </c>
      <c r="O219">
        <v>3144.28</v>
      </c>
      <c r="P219">
        <v>124</v>
      </c>
      <c r="Q219">
        <v>3.8</v>
      </c>
      <c r="R219">
        <v>15</v>
      </c>
      <c r="S219" t="s">
        <v>48</v>
      </c>
      <c r="T219" t="s">
        <v>76</v>
      </c>
      <c r="U219" t="s">
        <v>74</v>
      </c>
      <c r="V219">
        <v>19.07</v>
      </c>
      <c r="W219">
        <v>72.87</v>
      </c>
      <c r="X219">
        <v>11489</v>
      </c>
      <c r="Y219">
        <v>12879</v>
      </c>
      <c r="Z219">
        <v>9695</v>
      </c>
      <c r="AA219">
        <v>12509</v>
      </c>
      <c r="AB219" t="s">
        <v>40</v>
      </c>
      <c r="AN219" s="3">
        <v>275</v>
      </c>
      <c r="AO219">
        <v>9854</v>
      </c>
      <c r="AQ219" s="6">
        <v>256</v>
      </c>
      <c r="AR219" s="5">
        <v>9591</v>
      </c>
    </row>
    <row r="220" spans="1:44" x14ac:dyDescent="0.3">
      <c r="A220">
        <v>1218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s="1">
        <v>46090</v>
      </c>
      <c r="H220" t="s">
        <v>71</v>
      </c>
      <c r="I220" t="s">
        <v>34</v>
      </c>
      <c r="J220" t="s">
        <v>77</v>
      </c>
      <c r="K220" t="s">
        <v>36</v>
      </c>
      <c r="L220">
        <v>55</v>
      </c>
      <c r="M220">
        <v>14465</v>
      </c>
      <c r="N220">
        <v>8111.28</v>
      </c>
      <c r="O220">
        <v>6353.72</v>
      </c>
      <c r="P220">
        <v>158</v>
      </c>
      <c r="Q220">
        <v>4.5</v>
      </c>
      <c r="R220">
        <v>15</v>
      </c>
      <c r="S220" t="s">
        <v>48</v>
      </c>
      <c r="T220" t="s">
        <v>76</v>
      </c>
      <c r="U220" t="s">
        <v>39</v>
      </c>
      <c r="V220">
        <v>12.97</v>
      </c>
      <c r="W220">
        <v>77.59</v>
      </c>
      <c r="X220">
        <v>12468</v>
      </c>
      <c r="Y220">
        <v>14466</v>
      </c>
      <c r="Z220">
        <v>11327</v>
      </c>
      <c r="AA220">
        <v>13023</v>
      </c>
      <c r="AB220" t="s">
        <v>79</v>
      </c>
      <c r="AN220" s="3">
        <v>276</v>
      </c>
      <c r="AO220">
        <v>8694</v>
      </c>
      <c r="AQ220" s="6">
        <v>257</v>
      </c>
      <c r="AR220" s="5">
        <v>10819</v>
      </c>
    </row>
    <row r="221" spans="1:44" x14ac:dyDescent="0.3">
      <c r="A221">
        <v>1219</v>
      </c>
      <c r="B221" t="s">
        <v>60</v>
      </c>
      <c r="C221" t="s">
        <v>29</v>
      </c>
      <c r="D221" t="s">
        <v>61</v>
      </c>
      <c r="E221" t="s">
        <v>62</v>
      </c>
      <c r="F221" t="s">
        <v>32</v>
      </c>
      <c r="G221" s="1">
        <v>46140</v>
      </c>
      <c r="H221" t="s">
        <v>75</v>
      </c>
      <c r="I221" t="s">
        <v>57</v>
      </c>
      <c r="J221" t="s">
        <v>58</v>
      </c>
      <c r="K221" t="s">
        <v>78</v>
      </c>
      <c r="L221">
        <v>29</v>
      </c>
      <c r="M221">
        <v>7598</v>
      </c>
      <c r="N221">
        <v>5232.3599999999997</v>
      </c>
      <c r="O221">
        <v>2365.64</v>
      </c>
      <c r="P221">
        <v>102</v>
      </c>
      <c r="Q221">
        <v>3.9</v>
      </c>
      <c r="R221">
        <v>0</v>
      </c>
      <c r="S221" t="s">
        <v>37</v>
      </c>
      <c r="T221" t="s">
        <v>49</v>
      </c>
      <c r="U221" t="s">
        <v>39</v>
      </c>
      <c r="V221">
        <v>13.08</v>
      </c>
      <c r="W221">
        <v>80.27</v>
      </c>
      <c r="X221">
        <v>6170</v>
      </c>
      <c r="Y221">
        <v>7330</v>
      </c>
      <c r="Z221">
        <v>5033</v>
      </c>
      <c r="AA221">
        <v>5145</v>
      </c>
      <c r="AB221" t="s">
        <v>79</v>
      </c>
      <c r="AN221" s="3">
        <v>277</v>
      </c>
      <c r="AO221">
        <v>9596</v>
      </c>
      <c r="AQ221" s="6">
        <v>258</v>
      </c>
      <c r="AR221" s="5">
        <v>15593.5</v>
      </c>
    </row>
    <row r="222" spans="1:44" x14ac:dyDescent="0.3">
      <c r="A222">
        <v>1220</v>
      </c>
      <c r="B222" t="s">
        <v>65</v>
      </c>
      <c r="C222" t="s">
        <v>29</v>
      </c>
      <c r="D222" t="s">
        <v>66</v>
      </c>
      <c r="E222" t="s">
        <v>67</v>
      </c>
      <c r="F222" t="s">
        <v>32</v>
      </c>
      <c r="G222" s="1">
        <v>46112</v>
      </c>
      <c r="H222" t="s">
        <v>71</v>
      </c>
      <c r="I222" t="s">
        <v>69</v>
      </c>
      <c r="J222" t="s">
        <v>70</v>
      </c>
      <c r="K222" t="s">
        <v>36</v>
      </c>
      <c r="L222">
        <v>52</v>
      </c>
      <c r="M222">
        <v>14040</v>
      </c>
      <c r="N222">
        <v>8593.93</v>
      </c>
      <c r="O222">
        <v>5446.07</v>
      </c>
      <c r="P222">
        <v>293</v>
      </c>
      <c r="Q222">
        <v>4.0999999999999996</v>
      </c>
      <c r="R222">
        <v>10</v>
      </c>
      <c r="S222" t="s">
        <v>64</v>
      </c>
      <c r="T222" t="s">
        <v>49</v>
      </c>
      <c r="U222" t="s">
        <v>74</v>
      </c>
      <c r="V222">
        <v>9.93</v>
      </c>
      <c r="W222">
        <v>76.260000000000005</v>
      </c>
      <c r="X222">
        <v>5521</v>
      </c>
      <c r="Y222">
        <v>7030</v>
      </c>
      <c r="Z222">
        <v>3536</v>
      </c>
      <c r="AA222">
        <v>4939</v>
      </c>
      <c r="AB222" t="s">
        <v>56</v>
      </c>
      <c r="AN222" s="3">
        <v>278</v>
      </c>
      <c r="AO222">
        <v>12906.333333333334</v>
      </c>
      <c r="AQ222" s="6">
        <v>259</v>
      </c>
      <c r="AR222" s="5">
        <v>9041.5</v>
      </c>
    </row>
    <row r="223" spans="1:44" x14ac:dyDescent="0.3">
      <c r="A223">
        <v>1221</v>
      </c>
      <c r="B223" t="s">
        <v>60</v>
      </c>
      <c r="C223" t="s">
        <v>29</v>
      </c>
      <c r="D223" t="s">
        <v>61</v>
      </c>
      <c r="E223" t="s">
        <v>62</v>
      </c>
      <c r="F223" t="s">
        <v>32</v>
      </c>
      <c r="G223" s="1">
        <v>46173</v>
      </c>
      <c r="H223" t="s">
        <v>54</v>
      </c>
      <c r="I223" t="s">
        <v>34</v>
      </c>
      <c r="J223" t="s">
        <v>77</v>
      </c>
      <c r="K223" t="s">
        <v>78</v>
      </c>
      <c r="L223">
        <v>18</v>
      </c>
      <c r="M223">
        <v>7074</v>
      </c>
      <c r="N223">
        <v>4138.87</v>
      </c>
      <c r="O223">
        <v>2935.13</v>
      </c>
      <c r="P223">
        <v>202</v>
      </c>
      <c r="Q223">
        <v>4.3</v>
      </c>
      <c r="R223">
        <v>10</v>
      </c>
      <c r="S223" t="s">
        <v>37</v>
      </c>
      <c r="T223" t="s">
        <v>49</v>
      </c>
      <c r="U223" t="s">
        <v>55</v>
      </c>
      <c r="V223">
        <v>13.08</v>
      </c>
      <c r="W223">
        <v>80.27</v>
      </c>
      <c r="X223">
        <v>13794</v>
      </c>
      <c r="Y223">
        <v>18762</v>
      </c>
      <c r="Z223">
        <v>12972</v>
      </c>
      <c r="AA223">
        <v>17356</v>
      </c>
      <c r="AB223" t="s">
        <v>40</v>
      </c>
      <c r="AN223" s="3">
        <v>279</v>
      </c>
      <c r="AO223">
        <v>10791.666666666666</v>
      </c>
      <c r="AQ223" s="6">
        <v>260</v>
      </c>
      <c r="AR223" s="5">
        <v>14644.5</v>
      </c>
    </row>
    <row r="224" spans="1:44" x14ac:dyDescent="0.3">
      <c r="A224">
        <v>1222</v>
      </c>
      <c r="B224" t="s">
        <v>41</v>
      </c>
      <c r="C224" t="s">
        <v>29</v>
      </c>
      <c r="D224" t="s">
        <v>42</v>
      </c>
      <c r="E224" t="s">
        <v>43</v>
      </c>
      <c r="F224" t="s">
        <v>44</v>
      </c>
      <c r="G224" s="1">
        <v>46089</v>
      </c>
      <c r="H224" t="s">
        <v>71</v>
      </c>
      <c r="I224" t="s">
        <v>34</v>
      </c>
      <c r="J224" t="s">
        <v>46</v>
      </c>
      <c r="K224" t="s">
        <v>36</v>
      </c>
      <c r="L224">
        <v>31</v>
      </c>
      <c r="M224">
        <v>12462</v>
      </c>
      <c r="N224">
        <v>9100.2900000000009</v>
      </c>
      <c r="O224">
        <v>3361.71</v>
      </c>
      <c r="P224">
        <v>140</v>
      </c>
      <c r="Q224">
        <v>3.7</v>
      </c>
      <c r="R224">
        <v>10</v>
      </c>
      <c r="S224" t="s">
        <v>64</v>
      </c>
      <c r="T224" t="s">
        <v>38</v>
      </c>
      <c r="U224" t="s">
        <v>74</v>
      </c>
      <c r="V224">
        <v>28.61</v>
      </c>
      <c r="W224">
        <v>77.2</v>
      </c>
      <c r="X224">
        <v>11727</v>
      </c>
      <c r="Y224">
        <v>16550</v>
      </c>
      <c r="Z224">
        <v>10502</v>
      </c>
      <c r="AA224">
        <v>13827</v>
      </c>
      <c r="AB224" t="s">
        <v>63</v>
      </c>
      <c r="AN224" s="3">
        <v>281</v>
      </c>
      <c r="AO224">
        <v>8692</v>
      </c>
      <c r="AQ224" s="6">
        <v>261</v>
      </c>
      <c r="AR224" s="5">
        <v>17499</v>
      </c>
    </row>
    <row r="225" spans="1:44" x14ac:dyDescent="0.3">
      <c r="A225">
        <v>1223</v>
      </c>
      <c r="B225" t="s">
        <v>50</v>
      </c>
      <c r="C225" t="s">
        <v>29</v>
      </c>
      <c r="D225" t="s">
        <v>51</v>
      </c>
      <c r="E225" t="s">
        <v>52</v>
      </c>
      <c r="F225" t="s">
        <v>53</v>
      </c>
      <c r="G225" s="1">
        <v>46187</v>
      </c>
      <c r="H225" t="s">
        <v>68</v>
      </c>
      <c r="I225" t="s">
        <v>57</v>
      </c>
      <c r="J225" t="s">
        <v>58</v>
      </c>
      <c r="K225" t="s">
        <v>59</v>
      </c>
      <c r="L225">
        <v>10</v>
      </c>
      <c r="M225">
        <v>2780</v>
      </c>
      <c r="N225">
        <v>1611.73</v>
      </c>
      <c r="O225">
        <v>1168.27</v>
      </c>
      <c r="P225">
        <v>193</v>
      </c>
      <c r="Q225">
        <v>4.5</v>
      </c>
      <c r="R225">
        <v>5</v>
      </c>
      <c r="S225" t="s">
        <v>37</v>
      </c>
      <c r="T225" t="s">
        <v>38</v>
      </c>
      <c r="U225" t="s">
        <v>55</v>
      </c>
      <c r="V225">
        <v>19.07</v>
      </c>
      <c r="W225">
        <v>72.87</v>
      </c>
      <c r="X225">
        <v>10316</v>
      </c>
      <c r="Y225">
        <v>14850</v>
      </c>
      <c r="Z225">
        <v>8841</v>
      </c>
      <c r="AA225">
        <v>14030</v>
      </c>
      <c r="AB225" t="s">
        <v>40</v>
      </c>
      <c r="AN225" s="3">
        <v>282</v>
      </c>
      <c r="AO225">
        <v>6640</v>
      </c>
      <c r="AQ225" s="6">
        <v>263</v>
      </c>
      <c r="AR225" s="5">
        <v>7845.333333333333</v>
      </c>
    </row>
    <row r="226" spans="1:44" x14ac:dyDescent="0.3">
      <c r="A226">
        <v>1224</v>
      </c>
      <c r="B226" t="s">
        <v>41</v>
      </c>
      <c r="C226" t="s">
        <v>29</v>
      </c>
      <c r="D226" t="s">
        <v>42</v>
      </c>
      <c r="E226" t="s">
        <v>43</v>
      </c>
      <c r="F226" t="s">
        <v>44</v>
      </c>
      <c r="G226" s="1">
        <v>46062</v>
      </c>
      <c r="H226" t="s">
        <v>33</v>
      </c>
      <c r="I226" t="s">
        <v>80</v>
      </c>
      <c r="J226" t="s">
        <v>81</v>
      </c>
      <c r="K226" t="s">
        <v>59</v>
      </c>
      <c r="L226">
        <v>11</v>
      </c>
      <c r="M226">
        <v>4136</v>
      </c>
      <c r="N226">
        <v>2880.94</v>
      </c>
      <c r="O226">
        <v>1255.06</v>
      </c>
      <c r="P226">
        <v>75</v>
      </c>
      <c r="Q226">
        <v>4.5999999999999996</v>
      </c>
      <c r="R226">
        <v>15</v>
      </c>
      <c r="S226" t="s">
        <v>64</v>
      </c>
      <c r="T226" t="s">
        <v>38</v>
      </c>
      <c r="U226" t="s">
        <v>55</v>
      </c>
      <c r="V226">
        <v>28.61</v>
      </c>
      <c r="W226">
        <v>77.2</v>
      </c>
      <c r="X226">
        <v>5205</v>
      </c>
      <c r="Y226">
        <v>7518</v>
      </c>
      <c r="Z226">
        <v>3568</v>
      </c>
      <c r="AA226">
        <v>3629</v>
      </c>
      <c r="AB226" t="s">
        <v>40</v>
      </c>
      <c r="AN226" s="3">
        <v>283</v>
      </c>
      <c r="AO226">
        <v>16642</v>
      </c>
      <c r="AQ226" s="6">
        <v>264</v>
      </c>
      <c r="AR226" s="5">
        <v>6512</v>
      </c>
    </row>
    <row r="227" spans="1:44" x14ac:dyDescent="0.3">
      <c r="A227">
        <v>1225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s="1">
        <v>46131</v>
      </c>
      <c r="H227" t="s">
        <v>75</v>
      </c>
      <c r="I227" t="s">
        <v>57</v>
      </c>
      <c r="J227" t="s">
        <v>83</v>
      </c>
      <c r="K227" t="s">
        <v>78</v>
      </c>
      <c r="L227">
        <v>19</v>
      </c>
      <c r="M227">
        <v>3591</v>
      </c>
      <c r="N227">
        <v>2358.11</v>
      </c>
      <c r="O227">
        <v>1232.8900000000001</v>
      </c>
      <c r="P227">
        <v>270</v>
      </c>
      <c r="Q227">
        <v>4.0999999999999996</v>
      </c>
      <c r="R227">
        <v>5</v>
      </c>
      <c r="S227" t="s">
        <v>64</v>
      </c>
      <c r="T227" t="s">
        <v>49</v>
      </c>
      <c r="U227" t="s">
        <v>55</v>
      </c>
      <c r="V227">
        <v>12.97</v>
      </c>
      <c r="W227">
        <v>77.59</v>
      </c>
      <c r="X227">
        <v>10743</v>
      </c>
      <c r="Y227">
        <v>15174</v>
      </c>
      <c r="Z227">
        <v>8923</v>
      </c>
      <c r="AA227">
        <v>11529</v>
      </c>
      <c r="AB227" t="s">
        <v>63</v>
      </c>
      <c r="AN227" s="3">
        <v>284</v>
      </c>
      <c r="AO227">
        <v>10581.8</v>
      </c>
      <c r="AQ227" s="6">
        <v>265</v>
      </c>
      <c r="AR227" s="5">
        <v>15780</v>
      </c>
    </row>
    <row r="228" spans="1:44" x14ac:dyDescent="0.3">
      <c r="A228">
        <v>1226</v>
      </c>
      <c r="B228" t="s">
        <v>65</v>
      </c>
      <c r="C228" t="s">
        <v>29</v>
      </c>
      <c r="D228" t="s">
        <v>66</v>
      </c>
      <c r="E228" t="s">
        <v>67</v>
      </c>
      <c r="F228" t="s">
        <v>32</v>
      </c>
      <c r="G228" s="1">
        <v>46144</v>
      </c>
      <c r="H228" t="s">
        <v>54</v>
      </c>
      <c r="I228" t="s">
        <v>34</v>
      </c>
      <c r="J228" t="s">
        <v>35</v>
      </c>
      <c r="K228" t="s">
        <v>78</v>
      </c>
      <c r="L228">
        <v>11</v>
      </c>
      <c r="M228">
        <v>4598</v>
      </c>
      <c r="N228">
        <v>3646.06</v>
      </c>
      <c r="O228">
        <v>951.94</v>
      </c>
      <c r="P228">
        <v>85</v>
      </c>
      <c r="Q228">
        <v>4.8</v>
      </c>
      <c r="R228">
        <v>10</v>
      </c>
      <c r="S228" t="s">
        <v>48</v>
      </c>
      <c r="T228" t="s">
        <v>49</v>
      </c>
      <c r="U228" t="s">
        <v>55</v>
      </c>
      <c r="V228">
        <v>9.93</v>
      </c>
      <c r="W228">
        <v>76.260000000000005</v>
      </c>
      <c r="X228">
        <v>14204</v>
      </c>
      <c r="Y228">
        <v>18517</v>
      </c>
      <c r="Z228">
        <v>13484</v>
      </c>
      <c r="AA228">
        <v>16672</v>
      </c>
      <c r="AB228" t="s">
        <v>63</v>
      </c>
      <c r="AN228" s="3">
        <v>285</v>
      </c>
      <c r="AO228">
        <v>14410</v>
      </c>
      <c r="AQ228" s="6">
        <v>266</v>
      </c>
      <c r="AR228" s="5">
        <v>8250</v>
      </c>
    </row>
    <row r="229" spans="1:44" x14ac:dyDescent="0.3">
      <c r="A229">
        <v>1227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s="1">
        <v>46201</v>
      </c>
      <c r="H229" t="s">
        <v>68</v>
      </c>
      <c r="I229" t="s">
        <v>80</v>
      </c>
      <c r="J229" t="s">
        <v>81</v>
      </c>
      <c r="K229" t="s">
        <v>36</v>
      </c>
      <c r="L229">
        <v>21</v>
      </c>
      <c r="M229">
        <v>3990</v>
      </c>
      <c r="N229">
        <v>2636.46</v>
      </c>
      <c r="O229">
        <v>1353.54</v>
      </c>
      <c r="P229">
        <v>102</v>
      </c>
      <c r="Q229">
        <v>4</v>
      </c>
      <c r="R229">
        <v>0</v>
      </c>
      <c r="S229" t="s">
        <v>48</v>
      </c>
      <c r="T229" t="s">
        <v>76</v>
      </c>
      <c r="U229" t="s">
        <v>55</v>
      </c>
      <c r="V229">
        <v>12.97</v>
      </c>
      <c r="W229">
        <v>77.59</v>
      </c>
      <c r="X229">
        <v>13674</v>
      </c>
      <c r="Y229">
        <v>17675</v>
      </c>
      <c r="Z229">
        <v>11922</v>
      </c>
      <c r="AA229">
        <v>15930</v>
      </c>
      <c r="AB229" t="s">
        <v>79</v>
      </c>
      <c r="AN229" s="3">
        <v>286</v>
      </c>
      <c r="AO229">
        <v>3055</v>
      </c>
      <c r="AQ229" s="6">
        <v>269</v>
      </c>
      <c r="AR229" s="5">
        <v>9009</v>
      </c>
    </row>
    <row r="230" spans="1:44" x14ac:dyDescent="0.3">
      <c r="A230">
        <v>1228</v>
      </c>
      <c r="B230" t="s">
        <v>60</v>
      </c>
      <c r="C230" t="s">
        <v>29</v>
      </c>
      <c r="D230" t="s">
        <v>61</v>
      </c>
      <c r="E230" t="s">
        <v>62</v>
      </c>
      <c r="F230" t="s">
        <v>32</v>
      </c>
      <c r="G230" s="1">
        <v>46083</v>
      </c>
      <c r="H230" t="s">
        <v>71</v>
      </c>
      <c r="I230" t="s">
        <v>80</v>
      </c>
      <c r="J230" t="s">
        <v>82</v>
      </c>
      <c r="K230" t="s">
        <v>47</v>
      </c>
      <c r="L230">
        <v>45</v>
      </c>
      <c r="M230">
        <v>17550</v>
      </c>
      <c r="N230">
        <v>11621.28</v>
      </c>
      <c r="O230">
        <v>5928.72</v>
      </c>
      <c r="P230">
        <v>274</v>
      </c>
      <c r="Q230">
        <v>5</v>
      </c>
      <c r="R230">
        <v>5</v>
      </c>
      <c r="S230" t="s">
        <v>48</v>
      </c>
      <c r="T230" t="s">
        <v>76</v>
      </c>
      <c r="U230" t="s">
        <v>55</v>
      </c>
      <c r="V230">
        <v>13.08</v>
      </c>
      <c r="W230">
        <v>80.27</v>
      </c>
      <c r="X230">
        <v>12947</v>
      </c>
      <c r="Y230">
        <v>16036</v>
      </c>
      <c r="Z230">
        <v>11755</v>
      </c>
      <c r="AA230">
        <v>12552</v>
      </c>
      <c r="AB230" t="s">
        <v>63</v>
      </c>
      <c r="AN230" s="3">
        <v>289</v>
      </c>
      <c r="AO230">
        <v>19342</v>
      </c>
      <c r="AQ230" s="6">
        <v>270</v>
      </c>
      <c r="AR230" s="5">
        <v>7787.5</v>
      </c>
    </row>
    <row r="231" spans="1:44" x14ac:dyDescent="0.3">
      <c r="A231">
        <v>1229</v>
      </c>
      <c r="B231" t="s">
        <v>50</v>
      </c>
      <c r="C231" t="s">
        <v>29</v>
      </c>
      <c r="D231" t="s">
        <v>51</v>
      </c>
      <c r="E231" t="s">
        <v>52</v>
      </c>
      <c r="F231" t="s">
        <v>53</v>
      </c>
      <c r="G231" s="1">
        <v>46103</v>
      </c>
      <c r="H231" t="s">
        <v>71</v>
      </c>
      <c r="I231" t="s">
        <v>80</v>
      </c>
      <c r="J231" t="s">
        <v>81</v>
      </c>
      <c r="K231" t="s">
        <v>47</v>
      </c>
      <c r="L231">
        <v>26</v>
      </c>
      <c r="M231">
        <v>6630</v>
      </c>
      <c r="N231">
        <v>3798.3</v>
      </c>
      <c r="O231">
        <v>2831.7</v>
      </c>
      <c r="P231">
        <v>99</v>
      </c>
      <c r="Q231">
        <v>4.0999999999999996</v>
      </c>
      <c r="R231">
        <v>15</v>
      </c>
      <c r="S231" t="s">
        <v>64</v>
      </c>
      <c r="T231" t="s">
        <v>49</v>
      </c>
      <c r="U231" t="s">
        <v>55</v>
      </c>
      <c r="V231">
        <v>19.07</v>
      </c>
      <c r="W231">
        <v>72.87</v>
      </c>
      <c r="X231">
        <v>13167</v>
      </c>
      <c r="Y231">
        <v>14683</v>
      </c>
      <c r="Z231">
        <v>12583</v>
      </c>
      <c r="AA231">
        <v>12921</v>
      </c>
      <c r="AB231" t="s">
        <v>56</v>
      </c>
      <c r="AN231" s="3">
        <v>290</v>
      </c>
      <c r="AO231">
        <v>8541.5</v>
      </c>
      <c r="AQ231" s="6">
        <v>271</v>
      </c>
      <c r="AR231" s="5">
        <v>9838.6666666666661</v>
      </c>
    </row>
    <row r="232" spans="1:44" x14ac:dyDescent="0.3">
      <c r="A232">
        <v>1230</v>
      </c>
      <c r="B232" t="s">
        <v>60</v>
      </c>
      <c r="C232" t="s">
        <v>29</v>
      </c>
      <c r="D232" t="s">
        <v>61</v>
      </c>
      <c r="E232" t="s">
        <v>62</v>
      </c>
      <c r="F232" t="s">
        <v>32</v>
      </c>
      <c r="G232" s="1">
        <v>46052</v>
      </c>
      <c r="H232" t="s">
        <v>45</v>
      </c>
      <c r="I232" t="s">
        <v>57</v>
      </c>
      <c r="J232" t="s">
        <v>58</v>
      </c>
      <c r="K232" t="s">
        <v>47</v>
      </c>
      <c r="L232">
        <v>40</v>
      </c>
      <c r="M232">
        <v>7680</v>
      </c>
      <c r="N232">
        <v>5109.72</v>
      </c>
      <c r="O232">
        <v>2570.2800000000002</v>
      </c>
      <c r="P232">
        <v>162</v>
      </c>
      <c r="Q232">
        <v>3.8</v>
      </c>
      <c r="R232">
        <v>10</v>
      </c>
      <c r="S232" t="s">
        <v>48</v>
      </c>
      <c r="T232" t="s">
        <v>38</v>
      </c>
      <c r="U232" t="s">
        <v>55</v>
      </c>
      <c r="V232">
        <v>13.08</v>
      </c>
      <c r="W232">
        <v>80.27</v>
      </c>
      <c r="X232">
        <v>14198</v>
      </c>
      <c r="Y232">
        <v>15276</v>
      </c>
      <c r="Z232">
        <v>12917</v>
      </c>
      <c r="AA232">
        <v>14725</v>
      </c>
      <c r="AB232" t="s">
        <v>63</v>
      </c>
      <c r="AN232" s="3">
        <v>291</v>
      </c>
      <c r="AO232">
        <v>4180</v>
      </c>
      <c r="AQ232" s="6">
        <v>272</v>
      </c>
      <c r="AR232" s="5">
        <v>5106</v>
      </c>
    </row>
    <row r="233" spans="1:44" x14ac:dyDescent="0.3">
      <c r="A233">
        <v>1231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s="1">
        <v>46054</v>
      </c>
      <c r="H233" t="s">
        <v>33</v>
      </c>
      <c r="I233" t="s">
        <v>57</v>
      </c>
      <c r="J233" t="s">
        <v>83</v>
      </c>
      <c r="K233" t="s">
        <v>73</v>
      </c>
      <c r="L233">
        <v>60</v>
      </c>
      <c r="M233">
        <v>23760</v>
      </c>
      <c r="N233">
        <v>15338.31</v>
      </c>
      <c r="O233">
        <v>8421.69</v>
      </c>
      <c r="P233">
        <v>74</v>
      </c>
      <c r="Q233">
        <v>4.5</v>
      </c>
      <c r="R233">
        <v>15</v>
      </c>
      <c r="S233" t="s">
        <v>64</v>
      </c>
      <c r="T233" t="s">
        <v>49</v>
      </c>
      <c r="U233" t="s">
        <v>74</v>
      </c>
      <c r="V233">
        <v>12.97</v>
      </c>
      <c r="W233">
        <v>77.59</v>
      </c>
      <c r="X233">
        <v>5299</v>
      </c>
      <c r="Y233">
        <v>6693</v>
      </c>
      <c r="Z233">
        <v>4048</v>
      </c>
      <c r="AA233">
        <v>4101</v>
      </c>
      <c r="AB233" t="s">
        <v>56</v>
      </c>
      <c r="AN233" s="3">
        <v>292</v>
      </c>
      <c r="AO233">
        <v>6903.333333333333</v>
      </c>
      <c r="AQ233" s="6">
        <v>273</v>
      </c>
      <c r="AR233" s="5">
        <v>8572.25</v>
      </c>
    </row>
    <row r="234" spans="1:44" x14ac:dyDescent="0.3">
      <c r="A234">
        <v>1232</v>
      </c>
      <c r="B234" t="s">
        <v>50</v>
      </c>
      <c r="C234" t="s">
        <v>29</v>
      </c>
      <c r="D234" t="s">
        <v>51</v>
      </c>
      <c r="E234" t="s">
        <v>52</v>
      </c>
      <c r="F234" t="s">
        <v>53</v>
      </c>
      <c r="G234" s="1">
        <v>46077</v>
      </c>
      <c r="H234" t="s">
        <v>33</v>
      </c>
      <c r="I234" t="s">
        <v>34</v>
      </c>
      <c r="J234" t="s">
        <v>35</v>
      </c>
      <c r="K234" t="s">
        <v>59</v>
      </c>
      <c r="L234">
        <v>31</v>
      </c>
      <c r="M234">
        <v>9548</v>
      </c>
      <c r="N234">
        <v>5687.4</v>
      </c>
      <c r="O234">
        <v>3860.6</v>
      </c>
      <c r="P234">
        <v>183</v>
      </c>
      <c r="Q234">
        <v>3.6</v>
      </c>
      <c r="R234">
        <v>0</v>
      </c>
      <c r="S234" t="s">
        <v>48</v>
      </c>
      <c r="T234" t="s">
        <v>49</v>
      </c>
      <c r="U234" t="s">
        <v>74</v>
      </c>
      <c r="V234">
        <v>19.07</v>
      </c>
      <c r="W234">
        <v>72.87</v>
      </c>
      <c r="X234">
        <v>9822</v>
      </c>
      <c r="Y234">
        <v>13960</v>
      </c>
      <c r="Z234">
        <v>8546</v>
      </c>
      <c r="AA234">
        <v>8921</v>
      </c>
      <c r="AB234" t="s">
        <v>63</v>
      </c>
      <c r="AN234" s="3">
        <v>293</v>
      </c>
      <c r="AO234">
        <v>12026.25</v>
      </c>
      <c r="AQ234" s="6">
        <v>274</v>
      </c>
      <c r="AR234" s="5">
        <v>13052.75</v>
      </c>
    </row>
    <row r="235" spans="1:44" x14ac:dyDescent="0.3">
      <c r="A235">
        <v>1233</v>
      </c>
      <c r="B235" t="s">
        <v>65</v>
      </c>
      <c r="C235" t="s">
        <v>29</v>
      </c>
      <c r="D235" t="s">
        <v>66</v>
      </c>
      <c r="E235" t="s">
        <v>67</v>
      </c>
      <c r="F235" t="s">
        <v>32</v>
      </c>
      <c r="G235" s="1">
        <v>46086</v>
      </c>
      <c r="H235" t="s">
        <v>71</v>
      </c>
      <c r="I235" t="s">
        <v>57</v>
      </c>
      <c r="J235" t="s">
        <v>58</v>
      </c>
      <c r="K235" t="s">
        <v>59</v>
      </c>
      <c r="L235">
        <v>21</v>
      </c>
      <c r="M235">
        <v>7056</v>
      </c>
      <c r="N235">
        <v>5110.8100000000004</v>
      </c>
      <c r="O235">
        <v>1945.19</v>
      </c>
      <c r="P235">
        <v>293</v>
      </c>
      <c r="Q235">
        <v>4</v>
      </c>
      <c r="R235">
        <v>5</v>
      </c>
      <c r="S235" t="s">
        <v>64</v>
      </c>
      <c r="T235" t="s">
        <v>38</v>
      </c>
      <c r="U235" t="s">
        <v>39</v>
      </c>
      <c r="V235">
        <v>9.93</v>
      </c>
      <c r="W235">
        <v>76.260000000000005</v>
      </c>
      <c r="X235">
        <v>14409</v>
      </c>
      <c r="Y235">
        <v>15841</v>
      </c>
      <c r="Z235">
        <v>12950</v>
      </c>
      <c r="AA235">
        <v>14566</v>
      </c>
      <c r="AB235" t="s">
        <v>63</v>
      </c>
      <c r="AN235" s="3">
        <v>294</v>
      </c>
      <c r="AO235">
        <v>7835</v>
      </c>
      <c r="AQ235" s="6">
        <v>275</v>
      </c>
      <c r="AR235" s="5">
        <v>9854</v>
      </c>
    </row>
    <row r="236" spans="1:44" x14ac:dyDescent="0.3">
      <c r="A236">
        <v>1234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s="1">
        <v>46067</v>
      </c>
      <c r="H236" t="s">
        <v>33</v>
      </c>
      <c r="I236" t="s">
        <v>57</v>
      </c>
      <c r="J236" t="s">
        <v>83</v>
      </c>
      <c r="K236" t="s">
        <v>36</v>
      </c>
      <c r="L236">
        <v>57</v>
      </c>
      <c r="M236">
        <v>20577</v>
      </c>
      <c r="N236">
        <v>15200.8</v>
      </c>
      <c r="O236">
        <v>5376.2</v>
      </c>
      <c r="P236">
        <v>238</v>
      </c>
      <c r="Q236">
        <v>3.8</v>
      </c>
      <c r="R236">
        <v>10</v>
      </c>
      <c r="S236" t="s">
        <v>64</v>
      </c>
      <c r="T236" t="s">
        <v>38</v>
      </c>
      <c r="U236" t="s">
        <v>39</v>
      </c>
      <c r="V236">
        <v>12.97</v>
      </c>
      <c r="W236">
        <v>77.59</v>
      </c>
      <c r="X236">
        <v>10700</v>
      </c>
      <c r="Y236">
        <v>13442</v>
      </c>
      <c r="Z236">
        <v>9553</v>
      </c>
      <c r="AA236">
        <v>12533</v>
      </c>
      <c r="AB236" t="s">
        <v>79</v>
      </c>
      <c r="AN236" s="3">
        <v>295</v>
      </c>
      <c r="AO236">
        <v>17130.75</v>
      </c>
      <c r="AQ236" s="6">
        <v>276</v>
      </c>
      <c r="AR236" s="5">
        <v>8694</v>
      </c>
    </row>
    <row r="237" spans="1:44" x14ac:dyDescent="0.3">
      <c r="A237">
        <v>1235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s="1">
        <v>46198</v>
      </c>
      <c r="H237" t="s">
        <v>68</v>
      </c>
      <c r="I237" t="s">
        <v>57</v>
      </c>
      <c r="J237" t="s">
        <v>58</v>
      </c>
      <c r="K237" t="s">
        <v>73</v>
      </c>
      <c r="L237">
        <v>52</v>
      </c>
      <c r="M237">
        <v>14612</v>
      </c>
      <c r="N237">
        <v>10732.79</v>
      </c>
      <c r="O237">
        <v>3879.21</v>
      </c>
      <c r="P237">
        <v>58</v>
      </c>
      <c r="Q237">
        <v>4.2</v>
      </c>
      <c r="R237">
        <v>5</v>
      </c>
      <c r="S237" t="s">
        <v>48</v>
      </c>
      <c r="T237" t="s">
        <v>49</v>
      </c>
      <c r="U237" t="s">
        <v>74</v>
      </c>
      <c r="V237">
        <v>12.97</v>
      </c>
      <c r="W237">
        <v>77.59</v>
      </c>
      <c r="X237">
        <v>9043</v>
      </c>
      <c r="Y237">
        <v>13096</v>
      </c>
      <c r="Z237">
        <v>7267</v>
      </c>
      <c r="AA237">
        <v>11519</v>
      </c>
      <c r="AB237" t="s">
        <v>56</v>
      </c>
      <c r="AN237" s="3">
        <v>297</v>
      </c>
      <c r="AO237">
        <v>15524</v>
      </c>
      <c r="AQ237" s="6">
        <v>277</v>
      </c>
      <c r="AR237" s="5">
        <v>9596</v>
      </c>
    </row>
    <row r="238" spans="1:44" x14ac:dyDescent="0.3">
      <c r="A238">
        <v>1236</v>
      </c>
      <c r="B238" t="s">
        <v>50</v>
      </c>
      <c r="C238" t="s">
        <v>29</v>
      </c>
      <c r="D238" t="s">
        <v>51</v>
      </c>
      <c r="E238" t="s">
        <v>52</v>
      </c>
      <c r="F238" t="s">
        <v>53</v>
      </c>
      <c r="G238" s="1">
        <v>46184</v>
      </c>
      <c r="H238" t="s">
        <v>68</v>
      </c>
      <c r="I238" t="s">
        <v>69</v>
      </c>
      <c r="J238" t="s">
        <v>72</v>
      </c>
      <c r="K238" t="s">
        <v>47</v>
      </c>
      <c r="L238">
        <v>38</v>
      </c>
      <c r="M238">
        <v>8626</v>
      </c>
      <c r="N238">
        <v>5846.58</v>
      </c>
      <c r="O238">
        <v>2779.42</v>
      </c>
      <c r="P238">
        <v>113</v>
      </c>
      <c r="Q238">
        <v>4.5</v>
      </c>
      <c r="R238">
        <v>15</v>
      </c>
      <c r="S238" t="s">
        <v>37</v>
      </c>
      <c r="T238" t="s">
        <v>76</v>
      </c>
      <c r="U238" t="s">
        <v>55</v>
      </c>
      <c r="V238">
        <v>19.07</v>
      </c>
      <c r="W238">
        <v>72.87</v>
      </c>
      <c r="X238">
        <v>14762</v>
      </c>
      <c r="Y238">
        <v>16025</v>
      </c>
      <c r="Z238">
        <v>13430</v>
      </c>
      <c r="AA238">
        <v>15368</v>
      </c>
      <c r="AB238" t="s">
        <v>40</v>
      </c>
      <c r="AN238" s="3">
        <v>298</v>
      </c>
      <c r="AO238">
        <v>8976.6666666666661</v>
      </c>
      <c r="AQ238" s="6">
        <v>278</v>
      </c>
      <c r="AR238" s="5">
        <v>12906.333333333334</v>
      </c>
    </row>
    <row r="239" spans="1:44" x14ac:dyDescent="0.3">
      <c r="A239">
        <v>1237</v>
      </c>
      <c r="B239" t="s">
        <v>41</v>
      </c>
      <c r="C239" t="s">
        <v>29</v>
      </c>
      <c r="D239" t="s">
        <v>42</v>
      </c>
      <c r="E239" t="s">
        <v>43</v>
      </c>
      <c r="F239" t="s">
        <v>44</v>
      </c>
      <c r="G239" s="1">
        <v>46091</v>
      </c>
      <c r="H239" t="s">
        <v>71</v>
      </c>
      <c r="I239" t="s">
        <v>57</v>
      </c>
      <c r="J239" t="s">
        <v>83</v>
      </c>
      <c r="K239" t="s">
        <v>47</v>
      </c>
      <c r="L239">
        <v>12</v>
      </c>
      <c r="M239">
        <v>3084</v>
      </c>
      <c r="N239">
        <v>2273.79</v>
      </c>
      <c r="O239">
        <v>810.21</v>
      </c>
      <c r="P239">
        <v>223</v>
      </c>
      <c r="Q239">
        <v>3.5</v>
      </c>
      <c r="R239">
        <v>0</v>
      </c>
      <c r="S239" t="s">
        <v>48</v>
      </c>
      <c r="T239" t="s">
        <v>76</v>
      </c>
      <c r="U239" t="s">
        <v>39</v>
      </c>
      <c r="V239">
        <v>28.61</v>
      </c>
      <c r="W239">
        <v>77.2</v>
      </c>
      <c r="X239">
        <v>12649</v>
      </c>
      <c r="Y239">
        <v>17148</v>
      </c>
      <c r="Z239">
        <v>10942</v>
      </c>
      <c r="AA239">
        <v>16754</v>
      </c>
      <c r="AB239" t="s">
        <v>40</v>
      </c>
      <c r="AN239" s="3">
        <v>300</v>
      </c>
      <c r="AO239">
        <v>6919.5</v>
      </c>
      <c r="AQ239" s="6">
        <v>279</v>
      </c>
      <c r="AR239" s="5">
        <v>10791.666666666666</v>
      </c>
    </row>
    <row r="240" spans="1:44" x14ac:dyDescent="0.3">
      <c r="A240">
        <v>1238</v>
      </c>
      <c r="B240" t="s">
        <v>50</v>
      </c>
      <c r="C240" t="s">
        <v>29</v>
      </c>
      <c r="D240" t="s">
        <v>51</v>
      </c>
      <c r="E240" t="s">
        <v>52</v>
      </c>
      <c r="F240" t="s">
        <v>53</v>
      </c>
      <c r="G240" s="1">
        <v>46085</v>
      </c>
      <c r="H240" t="s">
        <v>71</v>
      </c>
      <c r="I240" t="s">
        <v>34</v>
      </c>
      <c r="J240" t="s">
        <v>77</v>
      </c>
      <c r="K240" t="s">
        <v>47</v>
      </c>
      <c r="L240">
        <v>5</v>
      </c>
      <c r="M240">
        <v>1100</v>
      </c>
      <c r="N240">
        <v>877.33</v>
      </c>
      <c r="O240">
        <v>222.67</v>
      </c>
      <c r="P240">
        <v>50</v>
      </c>
      <c r="Q240">
        <v>4.0999999999999996</v>
      </c>
      <c r="R240">
        <v>5</v>
      </c>
      <c r="S240" t="s">
        <v>48</v>
      </c>
      <c r="T240" t="s">
        <v>76</v>
      </c>
      <c r="U240" t="s">
        <v>55</v>
      </c>
      <c r="V240">
        <v>19.07</v>
      </c>
      <c r="W240">
        <v>72.87</v>
      </c>
      <c r="X240">
        <v>7183</v>
      </c>
      <c r="Y240">
        <v>10454</v>
      </c>
      <c r="Z240">
        <v>6620</v>
      </c>
      <c r="AA240">
        <v>6704</v>
      </c>
      <c r="AB240" t="s">
        <v>63</v>
      </c>
      <c r="AN240" s="3" t="s">
        <v>91</v>
      </c>
      <c r="AO240">
        <v>9785.0139999999992</v>
      </c>
      <c r="AQ240" s="6">
        <v>281</v>
      </c>
      <c r="AR240" s="5">
        <v>8692</v>
      </c>
    </row>
    <row r="241" spans="1:44" x14ac:dyDescent="0.3">
      <c r="A241">
        <v>1239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s="1">
        <v>46069</v>
      </c>
      <c r="H241" t="s">
        <v>33</v>
      </c>
      <c r="I241" t="s">
        <v>34</v>
      </c>
      <c r="J241" t="s">
        <v>77</v>
      </c>
      <c r="K241" t="s">
        <v>47</v>
      </c>
      <c r="L241">
        <v>22</v>
      </c>
      <c r="M241">
        <v>5984</v>
      </c>
      <c r="N241">
        <v>3596.03</v>
      </c>
      <c r="O241">
        <v>2387.9699999999998</v>
      </c>
      <c r="P241">
        <v>179</v>
      </c>
      <c r="Q241">
        <v>3.9</v>
      </c>
      <c r="R241">
        <v>5</v>
      </c>
      <c r="S241" t="s">
        <v>48</v>
      </c>
      <c r="T241" t="s">
        <v>49</v>
      </c>
      <c r="U241" t="s">
        <v>74</v>
      </c>
      <c r="V241">
        <v>12.97</v>
      </c>
      <c r="W241">
        <v>77.59</v>
      </c>
      <c r="X241">
        <v>7818</v>
      </c>
      <c r="Y241">
        <v>11475</v>
      </c>
      <c r="Z241">
        <v>5882</v>
      </c>
      <c r="AA241">
        <v>7399</v>
      </c>
      <c r="AB241" t="s">
        <v>40</v>
      </c>
      <c r="AQ241" s="6">
        <v>282</v>
      </c>
      <c r="AR241" s="5">
        <v>6640</v>
      </c>
    </row>
    <row r="242" spans="1:44" x14ac:dyDescent="0.3">
      <c r="A242">
        <v>1240</v>
      </c>
      <c r="B242" t="s">
        <v>50</v>
      </c>
      <c r="C242" t="s">
        <v>29</v>
      </c>
      <c r="D242" t="s">
        <v>51</v>
      </c>
      <c r="E242" t="s">
        <v>52</v>
      </c>
      <c r="F242" t="s">
        <v>53</v>
      </c>
      <c r="G242" s="1">
        <v>46039</v>
      </c>
      <c r="H242" t="s">
        <v>45</v>
      </c>
      <c r="I242" t="s">
        <v>69</v>
      </c>
      <c r="J242" t="s">
        <v>72</v>
      </c>
      <c r="K242" t="s">
        <v>73</v>
      </c>
      <c r="L242">
        <v>14</v>
      </c>
      <c r="M242">
        <v>4928</v>
      </c>
      <c r="N242">
        <v>3480.7</v>
      </c>
      <c r="O242">
        <v>1447.3</v>
      </c>
      <c r="P242">
        <v>203</v>
      </c>
      <c r="Q242">
        <v>4.3</v>
      </c>
      <c r="R242">
        <v>5</v>
      </c>
      <c r="S242" t="s">
        <v>37</v>
      </c>
      <c r="T242" t="s">
        <v>38</v>
      </c>
      <c r="U242" t="s">
        <v>74</v>
      </c>
      <c r="V242">
        <v>19.07</v>
      </c>
      <c r="W242">
        <v>72.87</v>
      </c>
      <c r="X242">
        <v>11148</v>
      </c>
      <c r="Y242">
        <v>15625</v>
      </c>
      <c r="Z242">
        <v>10601</v>
      </c>
      <c r="AA242">
        <v>13653</v>
      </c>
      <c r="AB242" t="s">
        <v>56</v>
      </c>
      <c r="AQ242" s="6">
        <v>283</v>
      </c>
      <c r="AR242" s="5">
        <v>16642</v>
      </c>
    </row>
    <row r="243" spans="1:44" x14ac:dyDescent="0.3">
      <c r="A243">
        <v>1241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s="1">
        <v>46183</v>
      </c>
      <c r="H243" t="s">
        <v>68</v>
      </c>
      <c r="I243" t="s">
        <v>34</v>
      </c>
      <c r="J243" t="s">
        <v>35</v>
      </c>
      <c r="K243" t="s">
        <v>78</v>
      </c>
      <c r="L243">
        <v>57</v>
      </c>
      <c r="M243">
        <v>11172</v>
      </c>
      <c r="N243">
        <v>7713.59</v>
      </c>
      <c r="O243">
        <v>3458.41</v>
      </c>
      <c r="P243">
        <v>74</v>
      </c>
      <c r="Q243">
        <v>4.3</v>
      </c>
      <c r="R243">
        <v>5</v>
      </c>
      <c r="S243" t="s">
        <v>64</v>
      </c>
      <c r="T243" t="s">
        <v>76</v>
      </c>
      <c r="U243" t="s">
        <v>55</v>
      </c>
      <c r="V243">
        <v>12.97</v>
      </c>
      <c r="W243">
        <v>77.59</v>
      </c>
      <c r="X243">
        <v>10986</v>
      </c>
      <c r="Y243">
        <v>12056</v>
      </c>
      <c r="Z243">
        <v>10395</v>
      </c>
      <c r="AA243">
        <v>11272</v>
      </c>
      <c r="AB243" t="s">
        <v>56</v>
      </c>
      <c r="AQ243" s="6">
        <v>284</v>
      </c>
      <c r="AR243" s="5">
        <v>10581.8</v>
      </c>
    </row>
    <row r="244" spans="1:44" x14ac:dyDescent="0.3">
      <c r="A244">
        <v>1242</v>
      </c>
      <c r="B244" t="s">
        <v>60</v>
      </c>
      <c r="C244" t="s">
        <v>29</v>
      </c>
      <c r="D244" t="s">
        <v>61</v>
      </c>
      <c r="E244" t="s">
        <v>62</v>
      </c>
      <c r="F244" t="s">
        <v>32</v>
      </c>
      <c r="G244" s="1">
        <v>46059</v>
      </c>
      <c r="H244" t="s">
        <v>33</v>
      </c>
      <c r="I244" t="s">
        <v>69</v>
      </c>
      <c r="J244" t="s">
        <v>70</v>
      </c>
      <c r="K244" t="s">
        <v>47</v>
      </c>
      <c r="L244">
        <v>16</v>
      </c>
      <c r="M244">
        <v>4384</v>
      </c>
      <c r="N244">
        <v>2845.92</v>
      </c>
      <c r="O244">
        <v>1538.08</v>
      </c>
      <c r="P244">
        <v>40</v>
      </c>
      <c r="Q244">
        <v>4.5999999999999996</v>
      </c>
      <c r="R244">
        <v>5</v>
      </c>
      <c r="S244" t="s">
        <v>37</v>
      </c>
      <c r="T244" t="s">
        <v>38</v>
      </c>
      <c r="U244" t="s">
        <v>74</v>
      </c>
      <c r="V244">
        <v>13.08</v>
      </c>
      <c r="W244">
        <v>80.27</v>
      </c>
      <c r="X244">
        <v>12795</v>
      </c>
      <c r="Y244">
        <v>14755</v>
      </c>
      <c r="Z244">
        <v>11934</v>
      </c>
      <c r="AA244">
        <v>13008</v>
      </c>
      <c r="AB244" t="s">
        <v>79</v>
      </c>
      <c r="AQ244" s="6">
        <v>285</v>
      </c>
      <c r="AR244" s="5">
        <v>14410</v>
      </c>
    </row>
    <row r="245" spans="1:44" x14ac:dyDescent="0.3">
      <c r="A245">
        <v>1243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s="1">
        <v>46185</v>
      </c>
      <c r="H245" t="s">
        <v>68</v>
      </c>
      <c r="I245" t="s">
        <v>69</v>
      </c>
      <c r="J245" t="s">
        <v>72</v>
      </c>
      <c r="K245" t="s">
        <v>47</v>
      </c>
      <c r="L245">
        <v>60</v>
      </c>
      <c r="M245">
        <v>21900</v>
      </c>
      <c r="N245">
        <v>15955.82</v>
      </c>
      <c r="O245">
        <v>5944.18</v>
      </c>
      <c r="P245">
        <v>106</v>
      </c>
      <c r="Q245">
        <v>4.8</v>
      </c>
      <c r="R245">
        <v>5</v>
      </c>
      <c r="S245" t="s">
        <v>37</v>
      </c>
      <c r="T245" t="s">
        <v>76</v>
      </c>
      <c r="U245" t="s">
        <v>55</v>
      </c>
      <c r="V245">
        <v>12.97</v>
      </c>
      <c r="W245">
        <v>77.59</v>
      </c>
      <c r="X245">
        <v>8692</v>
      </c>
      <c r="Y245">
        <v>10668</v>
      </c>
      <c r="Z245">
        <v>7170</v>
      </c>
      <c r="AA245">
        <v>10331</v>
      </c>
      <c r="AB245" t="s">
        <v>63</v>
      </c>
      <c r="AQ245" s="6">
        <v>286</v>
      </c>
      <c r="AR245" s="5">
        <v>3055</v>
      </c>
    </row>
    <row r="246" spans="1:44" x14ac:dyDescent="0.3">
      <c r="A246">
        <v>1244</v>
      </c>
      <c r="B246" t="s">
        <v>60</v>
      </c>
      <c r="C246" t="s">
        <v>29</v>
      </c>
      <c r="D246" t="s">
        <v>61</v>
      </c>
      <c r="E246" t="s">
        <v>62</v>
      </c>
      <c r="F246" t="s">
        <v>32</v>
      </c>
      <c r="G246" s="1">
        <v>46135</v>
      </c>
      <c r="H246" t="s">
        <v>75</v>
      </c>
      <c r="I246" t="s">
        <v>80</v>
      </c>
      <c r="J246" t="s">
        <v>82</v>
      </c>
      <c r="K246" t="s">
        <v>36</v>
      </c>
      <c r="L246">
        <v>38</v>
      </c>
      <c r="M246">
        <v>10754</v>
      </c>
      <c r="N246">
        <v>8125.62</v>
      </c>
      <c r="O246">
        <v>2628.38</v>
      </c>
      <c r="P246">
        <v>295</v>
      </c>
      <c r="Q246">
        <v>3.8</v>
      </c>
      <c r="R246">
        <v>10</v>
      </c>
      <c r="S246" t="s">
        <v>48</v>
      </c>
      <c r="T246" t="s">
        <v>38</v>
      </c>
      <c r="U246" t="s">
        <v>39</v>
      </c>
      <c r="V246">
        <v>13.08</v>
      </c>
      <c r="W246">
        <v>80.27</v>
      </c>
      <c r="X246">
        <v>8082</v>
      </c>
      <c r="Y246">
        <v>9271</v>
      </c>
      <c r="Z246">
        <v>6936</v>
      </c>
      <c r="AA246">
        <v>8732</v>
      </c>
      <c r="AB246" t="s">
        <v>40</v>
      </c>
      <c r="AQ246" s="6">
        <v>289</v>
      </c>
      <c r="AR246" s="5">
        <v>19342</v>
      </c>
    </row>
    <row r="247" spans="1:44" x14ac:dyDescent="0.3">
      <c r="A247">
        <v>1245</v>
      </c>
      <c r="B247" t="s">
        <v>65</v>
      </c>
      <c r="C247" t="s">
        <v>29</v>
      </c>
      <c r="D247" t="s">
        <v>66</v>
      </c>
      <c r="E247" t="s">
        <v>67</v>
      </c>
      <c r="F247" t="s">
        <v>32</v>
      </c>
      <c r="G247" s="1">
        <v>46125</v>
      </c>
      <c r="H247" t="s">
        <v>75</v>
      </c>
      <c r="I247" t="s">
        <v>80</v>
      </c>
      <c r="J247" t="s">
        <v>82</v>
      </c>
      <c r="K247" t="s">
        <v>59</v>
      </c>
      <c r="L247">
        <v>31</v>
      </c>
      <c r="M247">
        <v>6975</v>
      </c>
      <c r="N247">
        <v>4219.1400000000003</v>
      </c>
      <c r="O247">
        <v>2755.86</v>
      </c>
      <c r="P247">
        <v>204</v>
      </c>
      <c r="Q247">
        <v>4.4000000000000004</v>
      </c>
      <c r="R247">
        <v>5</v>
      </c>
      <c r="S247" t="s">
        <v>48</v>
      </c>
      <c r="T247" t="s">
        <v>38</v>
      </c>
      <c r="U247" t="s">
        <v>55</v>
      </c>
      <c r="V247">
        <v>9.93</v>
      </c>
      <c r="W247">
        <v>76.260000000000005</v>
      </c>
      <c r="X247">
        <v>11211</v>
      </c>
      <c r="Y247">
        <v>15878</v>
      </c>
      <c r="Z247">
        <v>9392</v>
      </c>
      <c r="AA247">
        <v>13224</v>
      </c>
      <c r="AB247" t="s">
        <v>56</v>
      </c>
      <c r="AQ247" s="6">
        <v>290</v>
      </c>
      <c r="AR247" s="5">
        <v>8541.5</v>
      </c>
    </row>
    <row r="248" spans="1:44" x14ac:dyDescent="0.3">
      <c r="A248">
        <v>1246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s="1">
        <v>46123</v>
      </c>
      <c r="H248" t="s">
        <v>75</v>
      </c>
      <c r="I248" t="s">
        <v>57</v>
      </c>
      <c r="J248" t="s">
        <v>58</v>
      </c>
      <c r="K248" t="s">
        <v>36</v>
      </c>
      <c r="L248">
        <v>7</v>
      </c>
      <c r="M248">
        <v>1421</v>
      </c>
      <c r="N248">
        <v>885.64</v>
      </c>
      <c r="O248">
        <v>535.36</v>
      </c>
      <c r="P248">
        <v>86</v>
      </c>
      <c r="Q248">
        <v>4.8</v>
      </c>
      <c r="R248">
        <v>10</v>
      </c>
      <c r="S248" t="s">
        <v>64</v>
      </c>
      <c r="T248" t="s">
        <v>49</v>
      </c>
      <c r="U248" t="s">
        <v>74</v>
      </c>
      <c r="V248">
        <v>12.97</v>
      </c>
      <c r="W248">
        <v>77.59</v>
      </c>
      <c r="X248">
        <v>10038</v>
      </c>
      <c r="Y248">
        <v>14579</v>
      </c>
      <c r="Z248">
        <v>9492</v>
      </c>
      <c r="AA248">
        <v>11451</v>
      </c>
      <c r="AB248" t="s">
        <v>56</v>
      </c>
      <c r="AQ248" s="6">
        <v>291</v>
      </c>
      <c r="AR248" s="5">
        <v>4180</v>
      </c>
    </row>
    <row r="249" spans="1:44" x14ac:dyDescent="0.3">
      <c r="A249">
        <v>1247</v>
      </c>
      <c r="B249" t="s">
        <v>50</v>
      </c>
      <c r="C249" t="s">
        <v>29</v>
      </c>
      <c r="D249" t="s">
        <v>51</v>
      </c>
      <c r="E249" t="s">
        <v>52</v>
      </c>
      <c r="F249" t="s">
        <v>53</v>
      </c>
      <c r="G249" s="1">
        <v>46139</v>
      </c>
      <c r="H249" t="s">
        <v>75</v>
      </c>
      <c r="I249" t="s">
        <v>69</v>
      </c>
      <c r="J249" t="s">
        <v>70</v>
      </c>
      <c r="K249" t="s">
        <v>59</v>
      </c>
      <c r="L249">
        <v>57</v>
      </c>
      <c r="M249">
        <v>12768</v>
      </c>
      <c r="N249">
        <v>9500.48</v>
      </c>
      <c r="O249">
        <v>3267.52</v>
      </c>
      <c r="P249">
        <v>43</v>
      </c>
      <c r="Q249">
        <v>5</v>
      </c>
      <c r="R249">
        <v>15</v>
      </c>
      <c r="S249" t="s">
        <v>64</v>
      </c>
      <c r="T249" t="s">
        <v>49</v>
      </c>
      <c r="U249" t="s">
        <v>55</v>
      </c>
      <c r="V249">
        <v>19.07</v>
      </c>
      <c r="W249">
        <v>72.87</v>
      </c>
      <c r="X249">
        <v>10444</v>
      </c>
      <c r="Y249">
        <v>14211</v>
      </c>
      <c r="Z249">
        <v>8722</v>
      </c>
      <c r="AA249">
        <v>10880</v>
      </c>
      <c r="AB249" t="s">
        <v>40</v>
      </c>
      <c r="AQ249" s="6">
        <v>292</v>
      </c>
      <c r="AR249" s="5">
        <v>6903.333333333333</v>
      </c>
    </row>
    <row r="250" spans="1:44" x14ac:dyDescent="0.3">
      <c r="A250">
        <v>1248</v>
      </c>
      <c r="B250" t="s">
        <v>50</v>
      </c>
      <c r="C250" t="s">
        <v>29</v>
      </c>
      <c r="D250" t="s">
        <v>51</v>
      </c>
      <c r="E250" t="s">
        <v>52</v>
      </c>
      <c r="F250" t="s">
        <v>53</v>
      </c>
      <c r="G250" s="1">
        <v>46196</v>
      </c>
      <c r="H250" t="s">
        <v>68</v>
      </c>
      <c r="I250" t="s">
        <v>69</v>
      </c>
      <c r="J250" t="s">
        <v>70</v>
      </c>
      <c r="K250" t="s">
        <v>78</v>
      </c>
      <c r="L250">
        <v>9</v>
      </c>
      <c r="M250">
        <v>2133</v>
      </c>
      <c r="N250">
        <v>1516.02</v>
      </c>
      <c r="O250">
        <v>616.98</v>
      </c>
      <c r="P250">
        <v>284</v>
      </c>
      <c r="Q250">
        <v>3.8</v>
      </c>
      <c r="R250">
        <v>5</v>
      </c>
      <c r="S250" t="s">
        <v>48</v>
      </c>
      <c r="T250" t="s">
        <v>38</v>
      </c>
      <c r="U250" t="s">
        <v>74</v>
      </c>
      <c r="V250">
        <v>19.07</v>
      </c>
      <c r="W250">
        <v>72.87</v>
      </c>
      <c r="X250">
        <v>14236</v>
      </c>
      <c r="Y250">
        <v>16037</v>
      </c>
      <c r="Z250">
        <v>13106</v>
      </c>
      <c r="AA250">
        <v>15708</v>
      </c>
      <c r="AB250" t="s">
        <v>40</v>
      </c>
      <c r="AQ250" s="6">
        <v>293</v>
      </c>
      <c r="AR250" s="5">
        <v>12026.25</v>
      </c>
    </row>
    <row r="251" spans="1:44" x14ac:dyDescent="0.3">
      <c r="A251">
        <v>1249</v>
      </c>
      <c r="B251" t="s">
        <v>65</v>
      </c>
      <c r="C251" t="s">
        <v>29</v>
      </c>
      <c r="D251" t="s">
        <v>66</v>
      </c>
      <c r="E251" t="s">
        <v>67</v>
      </c>
      <c r="F251" t="s">
        <v>32</v>
      </c>
      <c r="G251" s="1">
        <v>46163</v>
      </c>
      <c r="H251" t="s">
        <v>54</v>
      </c>
      <c r="I251" t="s">
        <v>34</v>
      </c>
      <c r="J251" t="s">
        <v>35</v>
      </c>
      <c r="K251" t="s">
        <v>59</v>
      </c>
      <c r="L251">
        <v>22</v>
      </c>
      <c r="M251">
        <v>6974</v>
      </c>
      <c r="N251">
        <v>4119.17</v>
      </c>
      <c r="O251">
        <v>2854.83</v>
      </c>
      <c r="P251">
        <v>191</v>
      </c>
      <c r="Q251">
        <v>4.5</v>
      </c>
      <c r="R251">
        <v>15</v>
      </c>
      <c r="S251" t="s">
        <v>48</v>
      </c>
      <c r="T251" t="s">
        <v>76</v>
      </c>
      <c r="U251" t="s">
        <v>39</v>
      </c>
      <c r="V251">
        <v>9.93</v>
      </c>
      <c r="W251">
        <v>76.260000000000005</v>
      </c>
      <c r="X251">
        <v>7488</v>
      </c>
      <c r="Y251">
        <v>11524</v>
      </c>
      <c r="Z251">
        <v>6043</v>
      </c>
      <c r="AA251">
        <v>7032</v>
      </c>
      <c r="AB251" t="s">
        <v>79</v>
      </c>
      <c r="AQ251" s="6">
        <v>294</v>
      </c>
      <c r="AR251" s="5">
        <v>7835</v>
      </c>
    </row>
    <row r="252" spans="1:44" x14ac:dyDescent="0.3">
      <c r="A252">
        <v>1250</v>
      </c>
      <c r="B252" t="s">
        <v>60</v>
      </c>
      <c r="C252" t="s">
        <v>29</v>
      </c>
      <c r="D252" t="s">
        <v>61</v>
      </c>
      <c r="E252" t="s">
        <v>62</v>
      </c>
      <c r="F252" t="s">
        <v>32</v>
      </c>
      <c r="G252" s="1">
        <v>46105</v>
      </c>
      <c r="H252" t="s">
        <v>71</v>
      </c>
      <c r="I252" t="s">
        <v>69</v>
      </c>
      <c r="J252" t="s">
        <v>72</v>
      </c>
      <c r="K252" t="s">
        <v>78</v>
      </c>
      <c r="L252">
        <v>52</v>
      </c>
      <c r="M252">
        <v>17368</v>
      </c>
      <c r="N252">
        <v>13721.02</v>
      </c>
      <c r="O252">
        <v>3646.98</v>
      </c>
      <c r="P252">
        <v>176</v>
      </c>
      <c r="Q252">
        <v>3.9</v>
      </c>
      <c r="R252">
        <v>15</v>
      </c>
      <c r="S252" t="s">
        <v>37</v>
      </c>
      <c r="T252" t="s">
        <v>76</v>
      </c>
      <c r="U252" t="s">
        <v>74</v>
      </c>
      <c r="V252">
        <v>13.08</v>
      </c>
      <c r="W252">
        <v>80.27</v>
      </c>
      <c r="X252">
        <v>10414</v>
      </c>
      <c r="Y252">
        <v>14326</v>
      </c>
      <c r="Z252">
        <v>8428</v>
      </c>
      <c r="AA252">
        <v>12524</v>
      </c>
      <c r="AB252" t="s">
        <v>63</v>
      </c>
      <c r="AQ252" s="6">
        <v>295</v>
      </c>
      <c r="AR252" s="5">
        <v>17130.75</v>
      </c>
    </row>
    <row r="253" spans="1:44" x14ac:dyDescent="0.3">
      <c r="A253">
        <v>1251</v>
      </c>
      <c r="B253" t="s">
        <v>50</v>
      </c>
      <c r="C253" t="s">
        <v>29</v>
      </c>
      <c r="D253" t="s">
        <v>51</v>
      </c>
      <c r="E253" t="s">
        <v>52</v>
      </c>
      <c r="F253" t="s">
        <v>53</v>
      </c>
      <c r="G253" s="1">
        <v>46192</v>
      </c>
      <c r="H253" t="s">
        <v>68</v>
      </c>
      <c r="I253" t="s">
        <v>57</v>
      </c>
      <c r="J253" t="s">
        <v>83</v>
      </c>
      <c r="K253" t="s">
        <v>78</v>
      </c>
      <c r="L253">
        <v>39</v>
      </c>
      <c r="M253">
        <v>15522</v>
      </c>
      <c r="N253">
        <v>9968.5499999999993</v>
      </c>
      <c r="O253">
        <v>5553.45</v>
      </c>
      <c r="P253">
        <v>284</v>
      </c>
      <c r="Q253">
        <v>4.9000000000000004</v>
      </c>
      <c r="R253">
        <v>10</v>
      </c>
      <c r="S253" t="s">
        <v>48</v>
      </c>
      <c r="T253" t="s">
        <v>38</v>
      </c>
      <c r="U253" t="s">
        <v>39</v>
      </c>
      <c r="V253">
        <v>19.07</v>
      </c>
      <c r="W253">
        <v>72.87</v>
      </c>
      <c r="X253">
        <v>9782</v>
      </c>
      <c r="Y253">
        <v>10880</v>
      </c>
      <c r="Z253">
        <v>8999</v>
      </c>
      <c r="AA253">
        <v>9526</v>
      </c>
      <c r="AB253" t="s">
        <v>79</v>
      </c>
      <c r="AQ253" s="6">
        <v>297</v>
      </c>
      <c r="AR253" s="5">
        <v>15524</v>
      </c>
    </row>
    <row r="254" spans="1:44" x14ac:dyDescent="0.3">
      <c r="A254">
        <v>1252</v>
      </c>
      <c r="B254" t="s">
        <v>41</v>
      </c>
      <c r="C254" t="s">
        <v>29</v>
      </c>
      <c r="D254" t="s">
        <v>42</v>
      </c>
      <c r="E254" t="s">
        <v>43</v>
      </c>
      <c r="F254" t="s">
        <v>44</v>
      </c>
      <c r="G254" s="1">
        <v>46159</v>
      </c>
      <c r="H254" t="s">
        <v>54</v>
      </c>
      <c r="I254" t="s">
        <v>80</v>
      </c>
      <c r="J254" t="s">
        <v>82</v>
      </c>
      <c r="K254" t="s">
        <v>59</v>
      </c>
      <c r="L254">
        <v>50</v>
      </c>
      <c r="M254">
        <v>11750</v>
      </c>
      <c r="N254">
        <v>6937.11</v>
      </c>
      <c r="O254">
        <v>4812.8900000000003</v>
      </c>
      <c r="P254">
        <v>258</v>
      </c>
      <c r="Q254">
        <v>4</v>
      </c>
      <c r="R254">
        <v>10</v>
      </c>
      <c r="S254" t="s">
        <v>37</v>
      </c>
      <c r="T254" t="s">
        <v>49</v>
      </c>
      <c r="U254" t="s">
        <v>74</v>
      </c>
      <c r="V254">
        <v>28.61</v>
      </c>
      <c r="W254">
        <v>77.2</v>
      </c>
      <c r="X254">
        <v>12693</v>
      </c>
      <c r="Y254">
        <v>16321</v>
      </c>
      <c r="Z254">
        <v>12101</v>
      </c>
      <c r="AA254">
        <v>12933</v>
      </c>
      <c r="AB254" t="s">
        <v>56</v>
      </c>
      <c r="AQ254" s="6">
        <v>298</v>
      </c>
      <c r="AR254" s="5">
        <v>8976.6666666666661</v>
      </c>
    </row>
    <row r="255" spans="1:44" x14ac:dyDescent="0.3">
      <c r="A255">
        <v>1253</v>
      </c>
      <c r="B255" t="s">
        <v>60</v>
      </c>
      <c r="C255" t="s">
        <v>29</v>
      </c>
      <c r="D255" t="s">
        <v>61</v>
      </c>
      <c r="E255" t="s">
        <v>62</v>
      </c>
      <c r="F255" t="s">
        <v>32</v>
      </c>
      <c r="G255" s="1">
        <v>46066</v>
      </c>
      <c r="H255" t="s">
        <v>33</v>
      </c>
      <c r="I255" t="s">
        <v>69</v>
      </c>
      <c r="J255" t="s">
        <v>70</v>
      </c>
      <c r="K255" t="s">
        <v>59</v>
      </c>
      <c r="L255">
        <v>8</v>
      </c>
      <c r="M255">
        <v>1912</v>
      </c>
      <c r="N255">
        <v>1318.57</v>
      </c>
      <c r="O255">
        <v>593.42999999999995</v>
      </c>
      <c r="P255">
        <v>290</v>
      </c>
      <c r="Q255">
        <v>3.9</v>
      </c>
      <c r="R255">
        <v>0</v>
      </c>
      <c r="S255" t="s">
        <v>37</v>
      </c>
      <c r="T255" t="s">
        <v>38</v>
      </c>
      <c r="U255" t="s">
        <v>74</v>
      </c>
      <c r="V255">
        <v>13.08</v>
      </c>
      <c r="W255">
        <v>80.27</v>
      </c>
      <c r="X255">
        <v>13526</v>
      </c>
      <c r="Y255">
        <v>16331</v>
      </c>
      <c r="Z255">
        <v>12415</v>
      </c>
      <c r="AA255">
        <v>14376</v>
      </c>
      <c r="AB255" t="s">
        <v>79</v>
      </c>
      <c r="AQ255" s="6">
        <v>300</v>
      </c>
      <c r="AR255" s="5">
        <v>6919.5</v>
      </c>
    </row>
    <row r="256" spans="1:44" x14ac:dyDescent="0.3">
      <c r="A256">
        <v>1254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s="1">
        <v>46082</v>
      </c>
      <c r="H256" t="s">
        <v>71</v>
      </c>
      <c r="I256" t="s">
        <v>57</v>
      </c>
      <c r="J256" t="s">
        <v>58</v>
      </c>
      <c r="K256" t="s">
        <v>47</v>
      </c>
      <c r="L256">
        <v>19</v>
      </c>
      <c r="M256">
        <v>4161</v>
      </c>
      <c r="N256">
        <v>2661.67</v>
      </c>
      <c r="O256">
        <v>1499.33</v>
      </c>
      <c r="P256">
        <v>177</v>
      </c>
      <c r="Q256">
        <v>4.3</v>
      </c>
      <c r="R256">
        <v>10</v>
      </c>
      <c r="S256" t="s">
        <v>48</v>
      </c>
      <c r="T256" t="s">
        <v>49</v>
      </c>
      <c r="U256" t="s">
        <v>74</v>
      </c>
      <c r="V256">
        <v>12.97</v>
      </c>
      <c r="W256">
        <v>77.59</v>
      </c>
      <c r="X256">
        <v>14778</v>
      </c>
      <c r="Y256">
        <v>15857</v>
      </c>
      <c r="Z256">
        <v>13591</v>
      </c>
      <c r="AA256">
        <v>15643</v>
      </c>
      <c r="AB256" t="s">
        <v>63</v>
      </c>
    </row>
    <row r="257" spans="1:28" x14ac:dyDescent="0.3">
      <c r="A257">
        <v>1255</v>
      </c>
      <c r="B257" t="s">
        <v>60</v>
      </c>
      <c r="C257" t="s">
        <v>29</v>
      </c>
      <c r="D257" t="s">
        <v>61</v>
      </c>
      <c r="E257" t="s">
        <v>62</v>
      </c>
      <c r="F257" t="s">
        <v>32</v>
      </c>
      <c r="G257" s="1">
        <v>46127</v>
      </c>
      <c r="H257" t="s">
        <v>75</v>
      </c>
      <c r="I257" t="s">
        <v>34</v>
      </c>
      <c r="J257" t="s">
        <v>46</v>
      </c>
      <c r="K257" t="s">
        <v>73</v>
      </c>
      <c r="L257">
        <v>56</v>
      </c>
      <c r="M257">
        <v>18984</v>
      </c>
      <c r="N257">
        <v>12464.65</v>
      </c>
      <c r="O257">
        <v>6519.35</v>
      </c>
      <c r="P257">
        <v>195</v>
      </c>
      <c r="Q257">
        <v>4.4000000000000004</v>
      </c>
      <c r="R257">
        <v>10</v>
      </c>
      <c r="S257" t="s">
        <v>37</v>
      </c>
      <c r="T257" t="s">
        <v>49</v>
      </c>
      <c r="U257" t="s">
        <v>55</v>
      </c>
      <c r="V257">
        <v>13.08</v>
      </c>
      <c r="W257">
        <v>80.27</v>
      </c>
      <c r="X257">
        <v>6169</v>
      </c>
      <c r="Y257">
        <v>8016</v>
      </c>
      <c r="Z257">
        <v>4928</v>
      </c>
      <c r="AA257">
        <v>5483</v>
      </c>
      <c r="AB257" t="s">
        <v>40</v>
      </c>
    </row>
    <row r="258" spans="1:28" x14ac:dyDescent="0.3">
      <c r="A258">
        <v>1256</v>
      </c>
      <c r="B258" t="s">
        <v>41</v>
      </c>
      <c r="C258" t="s">
        <v>29</v>
      </c>
      <c r="D258" t="s">
        <v>42</v>
      </c>
      <c r="E258" t="s">
        <v>43</v>
      </c>
      <c r="F258" t="s">
        <v>44</v>
      </c>
      <c r="G258" s="1">
        <v>46133</v>
      </c>
      <c r="H258" t="s">
        <v>75</v>
      </c>
      <c r="I258" t="s">
        <v>80</v>
      </c>
      <c r="J258" t="s">
        <v>82</v>
      </c>
      <c r="K258" t="s">
        <v>73</v>
      </c>
      <c r="L258">
        <v>20</v>
      </c>
      <c r="M258">
        <v>4740</v>
      </c>
      <c r="N258">
        <v>3160.73</v>
      </c>
      <c r="O258">
        <v>1579.27</v>
      </c>
      <c r="P258">
        <v>68</v>
      </c>
      <c r="Q258">
        <v>4.0999999999999996</v>
      </c>
      <c r="R258">
        <v>0</v>
      </c>
      <c r="S258" t="s">
        <v>64</v>
      </c>
      <c r="T258" t="s">
        <v>76</v>
      </c>
      <c r="U258" t="s">
        <v>74</v>
      </c>
      <c r="V258">
        <v>28.61</v>
      </c>
      <c r="W258">
        <v>77.2</v>
      </c>
      <c r="X258">
        <v>8867</v>
      </c>
      <c r="Y258">
        <v>10661</v>
      </c>
      <c r="Z258">
        <v>6924</v>
      </c>
      <c r="AA258">
        <v>7035</v>
      </c>
      <c r="AB258" t="s">
        <v>40</v>
      </c>
    </row>
    <row r="259" spans="1:28" x14ac:dyDescent="0.3">
      <c r="A259">
        <v>1257</v>
      </c>
      <c r="B259" t="s">
        <v>50</v>
      </c>
      <c r="C259" t="s">
        <v>29</v>
      </c>
      <c r="D259" t="s">
        <v>51</v>
      </c>
      <c r="E259" t="s">
        <v>52</v>
      </c>
      <c r="F259" t="s">
        <v>53</v>
      </c>
      <c r="G259" s="1">
        <v>46048</v>
      </c>
      <c r="H259" t="s">
        <v>45</v>
      </c>
      <c r="I259" t="s">
        <v>57</v>
      </c>
      <c r="J259" t="s">
        <v>83</v>
      </c>
      <c r="K259" t="s">
        <v>59</v>
      </c>
      <c r="L259">
        <v>39</v>
      </c>
      <c r="M259">
        <v>15171</v>
      </c>
      <c r="N259">
        <v>9018.0400000000009</v>
      </c>
      <c r="O259">
        <v>6152.96</v>
      </c>
      <c r="P259">
        <v>290</v>
      </c>
      <c r="Q259">
        <v>5</v>
      </c>
      <c r="R259">
        <v>10</v>
      </c>
      <c r="S259" t="s">
        <v>48</v>
      </c>
      <c r="T259" t="s">
        <v>49</v>
      </c>
      <c r="U259" t="s">
        <v>39</v>
      </c>
      <c r="V259">
        <v>19.07</v>
      </c>
      <c r="W259">
        <v>72.87</v>
      </c>
      <c r="X259">
        <v>7289</v>
      </c>
      <c r="Y259">
        <v>9240</v>
      </c>
      <c r="Z259">
        <v>5551</v>
      </c>
      <c r="AA259">
        <v>9043</v>
      </c>
      <c r="AB259" t="s">
        <v>63</v>
      </c>
    </row>
    <row r="260" spans="1:28" x14ac:dyDescent="0.3">
      <c r="A260">
        <v>1258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s="1">
        <v>46047</v>
      </c>
      <c r="H260" t="s">
        <v>45</v>
      </c>
      <c r="I260" t="s">
        <v>34</v>
      </c>
      <c r="J260" t="s">
        <v>35</v>
      </c>
      <c r="K260" t="s">
        <v>36</v>
      </c>
      <c r="L260">
        <v>17</v>
      </c>
      <c r="M260">
        <v>3672</v>
      </c>
      <c r="N260">
        <v>2640.06</v>
      </c>
      <c r="O260">
        <v>1031.94</v>
      </c>
      <c r="P260">
        <v>279</v>
      </c>
      <c r="Q260">
        <v>4.4000000000000004</v>
      </c>
      <c r="R260">
        <v>0</v>
      </c>
      <c r="S260" t="s">
        <v>48</v>
      </c>
      <c r="T260" t="s">
        <v>76</v>
      </c>
      <c r="U260" t="s">
        <v>55</v>
      </c>
      <c r="V260">
        <v>12.97</v>
      </c>
      <c r="W260">
        <v>77.59</v>
      </c>
      <c r="X260">
        <v>14282</v>
      </c>
      <c r="Y260">
        <v>18603</v>
      </c>
      <c r="Z260">
        <v>12451</v>
      </c>
      <c r="AA260">
        <v>13365</v>
      </c>
      <c r="AB260" t="s">
        <v>79</v>
      </c>
    </row>
    <row r="261" spans="1:28" x14ac:dyDescent="0.3">
      <c r="A261">
        <v>1259</v>
      </c>
      <c r="B261" t="s">
        <v>50</v>
      </c>
      <c r="C261" t="s">
        <v>29</v>
      </c>
      <c r="D261" t="s">
        <v>51</v>
      </c>
      <c r="E261" t="s">
        <v>52</v>
      </c>
      <c r="F261" t="s">
        <v>53</v>
      </c>
      <c r="G261" s="1">
        <v>46045</v>
      </c>
      <c r="H261" t="s">
        <v>45</v>
      </c>
      <c r="I261" t="s">
        <v>57</v>
      </c>
      <c r="J261" t="s">
        <v>58</v>
      </c>
      <c r="K261" t="s">
        <v>36</v>
      </c>
      <c r="L261">
        <v>49</v>
      </c>
      <c r="M261">
        <v>19600</v>
      </c>
      <c r="N261">
        <v>15366.14</v>
      </c>
      <c r="O261">
        <v>4233.8599999999997</v>
      </c>
      <c r="P261">
        <v>86</v>
      </c>
      <c r="Q261">
        <v>4.5999999999999996</v>
      </c>
      <c r="R261">
        <v>0</v>
      </c>
      <c r="S261" t="s">
        <v>37</v>
      </c>
      <c r="T261" t="s">
        <v>76</v>
      </c>
      <c r="U261" t="s">
        <v>55</v>
      </c>
      <c r="V261">
        <v>19.07</v>
      </c>
      <c r="W261">
        <v>72.87</v>
      </c>
      <c r="X261">
        <v>8586</v>
      </c>
      <c r="Y261">
        <v>10669</v>
      </c>
      <c r="Z261">
        <v>8056</v>
      </c>
      <c r="AA261">
        <v>9156</v>
      </c>
      <c r="AB261" t="s">
        <v>63</v>
      </c>
    </row>
    <row r="262" spans="1:28" x14ac:dyDescent="0.3">
      <c r="A262">
        <v>1260</v>
      </c>
      <c r="B262" t="s">
        <v>50</v>
      </c>
      <c r="C262" t="s">
        <v>29</v>
      </c>
      <c r="D262" t="s">
        <v>51</v>
      </c>
      <c r="E262" t="s">
        <v>52</v>
      </c>
      <c r="F262" t="s">
        <v>53</v>
      </c>
      <c r="G262" s="1">
        <v>46127</v>
      </c>
      <c r="H262" t="s">
        <v>75</v>
      </c>
      <c r="I262" t="s">
        <v>34</v>
      </c>
      <c r="J262" t="s">
        <v>35</v>
      </c>
      <c r="K262" t="s">
        <v>59</v>
      </c>
      <c r="L262">
        <v>6</v>
      </c>
      <c r="M262">
        <v>1350</v>
      </c>
      <c r="N262">
        <v>763.97</v>
      </c>
      <c r="O262">
        <v>586.03</v>
      </c>
      <c r="P262">
        <v>106</v>
      </c>
      <c r="Q262">
        <v>4.5999999999999996</v>
      </c>
      <c r="R262">
        <v>15</v>
      </c>
      <c r="S262" t="s">
        <v>64</v>
      </c>
      <c r="T262" t="s">
        <v>49</v>
      </c>
      <c r="U262" t="s">
        <v>55</v>
      </c>
      <c r="V262">
        <v>19.07</v>
      </c>
      <c r="W262">
        <v>72.87</v>
      </c>
      <c r="X262">
        <v>13771</v>
      </c>
      <c r="Y262">
        <v>17824</v>
      </c>
      <c r="Z262">
        <v>12456</v>
      </c>
      <c r="AA262">
        <v>17100</v>
      </c>
      <c r="AB262" t="s">
        <v>56</v>
      </c>
    </row>
    <row r="263" spans="1:28" x14ac:dyDescent="0.3">
      <c r="A263">
        <v>1261</v>
      </c>
      <c r="B263" t="s">
        <v>60</v>
      </c>
      <c r="C263" t="s">
        <v>29</v>
      </c>
      <c r="D263" t="s">
        <v>61</v>
      </c>
      <c r="E263" t="s">
        <v>62</v>
      </c>
      <c r="F263" t="s">
        <v>32</v>
      </c>
      <c r="G263" s="1">
        <v>46146</v>
      </c>
      <c r="H263" t="s">
        <v>54</v>
      </c>
      <c r="I263" t="s">
        <v>69</v>
      </c>
      <c r="J263" t="s">
        <v>70</v>
      </c>
      <c r="K263" t="s">
        <v>73</v>
      </c>
      <c r="L263">
        <v>21</v>
      </c>
      <c r="M263">
        <v>4893</v>
      </c>
      <c r="N263">
        <v>2732.36</v>
      </c>
      <c r="O263">
        <v>2160.64</v>
      </c>
      <c r="P263">
        <v>165</v>
      </c>
      <c r="Q263">
        <v>3.8</v>
      </c>
      <c r="R263">
        <v>5</v>
      </c>
      <c r="S263" t="s">
        <v>37</v>
      </c>
      <c r="T263" t="s">
        <v>49</v>
      </c>
      <c r="U263" t="s">
        <v>55</v>
      </c>
      <c r="V263">
        <v>13.08</v>
      </c>
      <c r="W263">
        <v>80.27</v>
      </c>
      <c r="X263">
        <v>6898</v>
      </c>
      <c r="Y263">
        <v>11113</v>
      </c>
      <c r="Z263">
        <v>5083</v>
      </c>
      <c r="AA263">
        <v>7830</v>
      </c>
      <c r="AB263" t="s">
        <v>79</v>
      </c>
    </row>
    <row r="264" spans="1:28" x14ac:dyDescent="0.3">
      <c r="A264">
        <v>1262</v>
      </c>
      <c r="B264" t="s">
        <v>41</v>
      </c>
      <c r="C264" t="s">
        <v>29</v>
      </c>
      <c r="D264" t="s">
        <v>42</v>
      </c>
      <c r="E264" t="s">
        <v>43</v>
      </c>
      <c r="F264" t="s">
        <v>44</v>
      </c>
      <c r="G264" s="1">
        <v>46052</v>
      </c>
      <c r="H264" t="s">
        <v>45</v>
      </c>
      <c r="I264" t="s">
        <v>69</v>
      </c>
      <c r="J264" t="s">
        <v>72</v>
      </c>
      <c r="K264" t="s">
        <v>78</v>
      </c>
      <c r="L264">
        <v>26</v>
      </c>
      <c r="M264">
        <v>5096</v>
      </c>
      <c r="N264">
        <v>3358.66</v>
      </c>
      <c r="O264">
        <v>1737.34</v>
      </c>
      <c r="P264">
        <v>147</v>
      </c>
      <c r="Q264">
        <v>4.0999999999999996</v>
      </c>
      <c r="R264">
        <v>10</v>
      </c>
      <c r="S264" t="s">
        <v>64</v>
      </c>
      <c r="T264" t="s">
        <v>76</v>
      </c>
      <c r="U264" t="s">
        <v>55</v>
      </c>
      <c r="V264">
        <v>28.61</v>
      </c>
      <c r="W264">
        <v>77.2</v>
      </c>
      <c r="X264">
        <v>14904</v>
      </c>
      <c r="Y264">
        <v>15931</v>
      </c>
      <c r="Z264">
        <v>12980</v>
      </c>
      <c r="AA264">
        <v>15806</v>
      </c>
      <c r="AB264" t="s">
        <v>79</v>
      </c>
    </row>
    <row r="265" spans="1:28" x14ac:dyDescent="0.3">
      <c r="A265">
        <v>1263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s="1">
        <v>46124</v>
      </c>
      <c r="H265" t="s">
        <v>75</v>
      </c>
      <c r="I265" t="s">
        <v>57</v>
      </c>
      <c r="J265" t="s">
        <v>58</v>
      </c>
      <c r="K265" t="s">
        <v>73</v>
      </c>
      <c r="L265">
        <v>7</v>
      </c>
      <c r="M265">
        <v>2016</v>
      </c>
      <c r="N265">
        <v>1390.59</v>
      </c>
      <c r="O265">
        <v>625.41</v>
      </c>
      <c r="P265">
        <v>201</v>
      </c>
      <c r="Q265">
        <v>3.9</v>
      </c>
      <c r="R265">
        <v>5</v>
      </c>
      <c r="S265" t="s">
        <v>48</v>
      </c>
      <c r="T265" t="s">
        <v>38</v>
      </c>
      <c r="U265" t="s">
        <v>74</v>
      </c>
      <c r="V265">
        <v>12.97</v>
      </c>
      <c r="W265">
        <v>77.59</v>
      </c>
      <c r="X265">
        <v>14814</v>
      </c>
      <c r="Y265">
        <v>17945</v>
      </c>
      <c r="Z265">
        <v>13900</v>
      </c>
      <c r="AA265">
        <v>16821</v>
      </c>
      <c r="AB265" t="s">
        <v>56</v>
      </c>
    </row>
    <row r="266" spans="1:28" x14ac:dyDescent="0.3">
      <c r="A266">
        <v>1264</v>
      </c>
      <c r="B266" t="s">
        <v>41</v>
      </c>
      <c r="C266" t="s">
        <v>29</v>
      </c>
      <c r="D266" t="s">
        <v>42</v>
      </c>
      <c r="E266" t="s">
        <v>43</v>
      </c>
      <c r="F266" t="s">
        <v>44</v>
      </c>
      <c r="G266" s="1">
        <v>46104</v>
      </c>
      <c r="H266" t="s">
        <v>71</v>
      </c>
      <c r="I266" t="s">
        <v>80</v>
      </c>
      <c r="J266" t="s">
        <v>81</v>
      </c>
      <c r="K266" t="s">
        <v>78</v>
      </c>
      <c r="L266">
        <v>17</v>
      </c>
      <c r="M266">
        <v>4284</v>
      </c>
      <c r="N266">
        <v>3242.73</v>
      </c>
      <c r="O266">
        <v>1041.27</v>
      </c>
      <c r="P266">
        <v>48</v>
      </c>
      <c r="Q266">
        <v>4.0999999999999996</v>
      </c>
      <c r="R266">
        <v>15</v>
      </c>
      <c r="S266" t="s">
        <v>48</v>
      </c>
      <c r="T266" t="s">
        <v>76</v>
      </c>
      <c r="U266" t="s">
        <v>39</v>
      </c>
      <c r="V266">
        <v>28.61</v>
      </c>
      <c r="W266">
        <v>77.2</v>
      </c>
      <c r="X266">
        <v>11315</v>
      </c>
      <c r="Y266">
        <v>14969</v>
      </c>
      <c r="Z266">
        <v>9413</v>
      </c>
      <c r="AA266">
        <v>12422</v>
      </c>
      <c r="AB266" t="s">
        <v>56</v>
      </c>
    </row>
    <row r="267" spans="1:28" x14ac:dyDescent="0.3">
      <c r="A267">
        <v>1265</v>
      </c>
      <c r="B267" t="s">
        <v>50</v>
      </c>
      <c r="C267" t="s">
        <v>29</v>
      </c>
      <c r="D267" t="s">
        <v>51</v>
      </c>
      <c r="E267" t="s">
        <v>52</v>
      </c>
      <c r="F267" t="s">
        <v>53</v>
      </c>
      <c r="G267" s="1">
        <v>46102</v>
      </c>
      <c r="H267" t="s">
        <v>71</v>
      </c>
      <c r="I267" t="s">
        <v>34</v>
      </c>
      <c r="J267" t="s">
        <v>46</v>
      </c>
      <c r="K267" t="s">
        <v>36</v>
      </c>
      <c r="L267">
        <v>54</v>
      </c>
      <c r="M267">
        <v>14094</v>
      </c>
      <c r="N267">
        <v>7817.7</v>
      </c>
      <c r="O267">
        <v>6276.3</v>
      </c>
      <c r="P267">
        <v>127</v>
      </c>
      <c r="Q267">
        <v>4</v>
      </c>
      <c r="R267">
        <v>15</v>
      </c>
      <c r="S267" t="s">
        <v>48</v>
      </c>
      <c r="T267" t="s">
        <v>76</v>
      </c>
      <c r="U267" t="s">
        <v>74</v>
      </c>
      <c r="V267">
        <v>19.07</v>
      </c>
      <c r="W267">
        <v>72.87</v>
      </c>
      <c r="X267">
        <v>6458</v>
      </c>
      <c r="Y267">
        <v>10282</v>
      </c>
      <c r="Z267">
        <v>4800</v>
      </c>
      <c r="AA267">
        <v>6816</v>
      </c>
      <c r="AB267" t="s">
        <v>56</v>
      </c>
    </row>
    <row r="268" spans="1:28" x14ac:dyDescent="0.3">
      <c r="A268">
        <v>1266</v>
      </c>
      <c r="B268" t="s">
        <v>50</v>
      </c>
      <c r="C268" t="s">
        <v>29</v>
      </c>
      <c r="D268" t="s">
        <v>51</v>
      </c>
      <c r="E268" t="s">
        <v>52</v>
      </c>
      <c r="F268" t="s">
        <v>53</v>
      </c>
      <c r="G268" s="1">
        <v>46100</v>
      </c>
      <c r="H268" t="s">
        <v>71</v>
      </c>
      <c r="I268" t="s">
        <v>57</v>
      </c>
      <c r="J268" t="s">
        <v>58</v>
      </c>
      <c r="K268" t="s">
        <v>73</v>
      </c>
      <c r="L268">
        <v>24</v>
      </c>
      <c r="M268">
        <v>6960</v>
      </c>
      <c r="N268">
        <v>4673.2299999999996</v>
      </c>
      <c r="O268">
        <v>2286.77</v>
      </c>
      <c r="P268">
        <v>112</v>
      </c>
      <c r="Q268">
        <v>4.0999999999999996</v>
      </c>
      <c r="R268">
        <v>0</v>
      </c>
      <c r="S268" t="s">
        <v>64</v>
      </c>
      <c r="T268" t="s">
        <v>38</v>
      </c>
      <c r="U268" t="s">
        <v>39</v>
      </c>
      <c r="V268">
        <v>19.07</v>
      </c>
      <c r="W268">
        <v>72.87</v>
      </c>
      <c r="X268">
        <v>6734</v>
      </c>
      <c r="Y268">
        <v>10300</v>
      </c>
      <c r="Z268">
        <v>5486</v>
      </c>
      <c r="AA268">
        <v>8761</v>
      </c>
      <c r="AB268" t="s">
        <v>79</v>
      </c>
    </row>
    <row r="269" spans="1:28" x14ac:dyDescent="0.3">
      <c r="A269">
        <v>1267</v>
      </c>
      <c r="B269" t="s">
        <v>50</v>
      </c>
      <c r="C269" t="s">
        <v>29</v>
      </c>
      <c r="D269" t="s">
        <v>51</v>
      </c>
      <c r="E269" t="s">
        <v>52</v>
      </c>
      <c r="F269" t="s">
        <v>53</v>
      </c>
      <c r="G269" s="1">
        <v>46100</v>
      </c>
      <c r="H269" t="s">
        <v>71</v>
      </c>
      <c r="I269" t="s">
        <v>34</v>
      </c>
      <c r="J269" t="s">
        <v>46</v>
      </c>
      <c r="K269" t="s">
        <v>47</v>
      </c>
      <c r="L269">
        <v>56</v>
      </c>
      <c r="M269">
        <v>11984</v>
      </c>
      <c r="N269">
        <v>7739.43</v>
      </c>
      <c r="O269">
        <v>4244.57</v>
      </c>
      <c r="P269">
        <v>270</v>
      </c>
      <c r="Q269">
        <v>4.9000000000000004</v>
      </c>
      <c r="R269">
        <v>15</v>
      </c>
      <c r="S269" t="s">
        <v>37</v>
      </c>
      <c r="T269" t="s">
        <v>76</v>
      </c>
      <c r="U269" t="s">
        <v>74</v>
      </c>
      <c r="V269">
        <v>19.07</v>
      </c>
      <c r="W269">
        <v>72.87</v>
      </c>
      <c r="X269">
        <v>13575</v>
      </c>
      <c r="Y269">
        <v>14582</v>
      </c>
      <c r="Z269">
        <v>11901</v>
      </c>
      <c r="AA269">
        <v>13231</v>
      </c>
      <c r="AB269" t="s">
        <v>40</v>
      </c>
    </row>
    <row r="270" spans="1:28" x14ac:dyDescent="0.3">
      <c r="A270">
        <v>1268</v>
      </c>
      <c r="B270" t="s">
        <v>50</v>
      </c>
      <c r="C270" t="s">
        <v>29</v>
      </c>
      <c r="D270" t="s">
        <v>51</v>
      </c>
      <c r="E270" t="s">
        <v>52</v>
      </c>
      <c r="F270" t="s">
        <v>53</v>
      </c>
      <c r="G270" s="1">
        <v>46169</v>
      </c>
      <c r="H270" t="s">
        <v>54</v>
      </c>
      <c r="I270" t="s">
        <v>34</v>
      </c>
      <c r="J270" t="s">
        <v>77</v>
      </c>
      <c r="K270" t="s">
        <v>78</v>
      </c>
      <c r="L270">
        <v>58</v>
      </c>
      <c r="M270">
        <v>20706</v>
      </c>
      <c r="N270">
        <v>16247.03</v>
      </c>
      <c r="O270">
        <v>4458.97</v>
      </c>
      <c r="P270">
        <v>153</v>
      </c>
      <c r="Q270">
        <v>4.8</v>
      </c>
      <c r="R270">
        <v>0</v>
      </c>
      <c r="S270" t="s">
        <v>48</v>
      </c>
      <c r="T270" t="s">
        <v>76</v>
      </c>
      <c r="U270" t="s">
        <v>55</v>
      </c>
      <c r="V270">
        <v>19.07</v>
      </c>
      <c r="W270">
        <v>72.87</v>
      </c>
      <c r="X270">
        <v>5058</v>
      </c>
      <c r="Y270">
        <v>7851</v>
      </c>
      <c r="Z270">
        <v>4302</v>
      </c>
      <c r="AA270">
        <v>6307</v>
      </c>
      <c r="AB270" t="s">
        <v>40</v>
      </c>
    </row>
    <row r="271" spans="1:28" x14ac:dyDescent="0.3">
      <c r="A271">
        <v>1269</v>
      </c>
      <c r="B271" t="s">
        <v>50</v>
      </c>
      <c r="C271" t="s">
        <v>29</v>
      </c>
      <c r="D271" t="s">
        <v>51</v>
      </c>
      <c r="E271" t="s">
        <v>52</v>
      </c>
      <c r="F271" t="s">
        <v>53</v>
      </c>
      <c r="G271" s="1">
        <v>46088</v>
      </c>
      <c r="H271" t="s">
        <v>71</v>
      </c>
      <c r="I271" t="s">
        <v>34</v>
      </c>
      <c r="J271" t="s">
        <v>77</v>
      </c>
      <c r="K271" t="s">
        <v>36</v>
      </c>
      <c r="L271">
        <v>19</v>
      </c>
      <c r="M271">
        <v>5168</v>
      </c>
      <c r="N271">
        <v>3368.37</v>
      </c>
      <c r="O271">
        <v>1799.63</v>
      </c>
      <c r="P271">
        <v>107</v>
      </c>
      <c r="Q271">
        <v>4.5999999999999996</v>
      </c>
      <c r="R271">
        <v>15</v>
      </c>
      <c r="S271" t="s">
        <v>64</v>
      </c>
      <c r="T271" t="s">
        <v>38</v>
      </c>
      <c r="U271" t="s">
        <v>39</v>
      </c>
      <c r="V271">
        <v>19.07</v>
      </c>
      <c r="W271">
        <v>72.87</v>
      </c>
      <c r="X271">
        <v>5601</v>
      </c>
      <c r="Y271">
        <v>10026</v>
      </c>
      <c r="Z271">
        <v>4957</v>
      </c>
      <c r="AA271">
        <v>6894</v>
      </c>
      <c r="AB271" t="s">
        <v>63</v>
      </c>
    </row>
    <row r="272" spans="1:28" x14ac:dyDescent="0.3">
      <c r="A272">
        <v>1270</v>
      </c>
      <c r="B272" t="s">
        <v>60</v>
      </c>
      <c r="C272" t="s">
        <v>29</v>
      </c>
      <c r="D272" t="s">
        <v>61</v>
      </c>
      <c r="E272" t="s">
        <v>62</v>
      </c>
      <c r="F272" t="s">
        <v>32</v>
      </c>
      <c r="G272" s="1">
        <v>46098</v>
      </c>
      <c r="H272" t="s">
        <v>71</v>
      </c>
      <c r="I272" t="s">
        <v>57</v>
      </c>
      <c r="J272" t="s">
        <v>83</v>
      </c>
      <c r="K272" t="s">
        <v>73</v>
      </c>
      <c r="L272">
        <v>19</v>
      </c>
      <c r="M272">
        <v>4579</v>
      </c>
      <c r="N272">
        <v>3238.72</v>
      </c>
      <c r="O272">
        <v>1340.28</v>
      </c>
      <c r="P272">
        <v>89</v>
      </c>
      <c r="Q272">
        <v>3.6</v>
      </c>
      <c r="R272">
        <v>10</v>
      </c>
      <c r="S272" t="s">
        <v>37</v>
      </c>
      <c r="T272" t="s">
        <v>38</v>
      </c>
      <c r="U272" t="s">
        <v>74</v>
      </c>
      <c r="V272">
        <v>13.08</v>
      </c>
      <c r="W272">
        <v>80.27</v>
      </c>
      <c r="X272">
        <v>9851</v>
      </c>
      <c r="Y272">
        <v>10879</v>
      </c>
      <c r="Z272">
        <v>9124</v>
      </c>
      <c r="AA272">
        <v>10750</v>
      </c>
      <c r="AB272" t="s">
        <v>63</v>
      </c>
    </row>
    <row r="273" spans="1:28" x14ac:dyDescent="0.3">
      <c r="A273">
        <v>1271</v>
      </c>
      <c r="B273" t="s">
        <v>50</v>
      </c>
      <c r="C273" t="s">
        <v>29</v>
      </c>
      <c r="D273" t="s">
        <v>51</v>
      </c>
      <c r="E273" t="s">
        <v>52</v>
      </c>
      <c r="F273" t="s">
        <v>53</v>
      </c>
      <c r="G273" s="1">
        <v>46037</v>
      </c>
      <c r="H273" t="s">
        <v>45</v>
      </c>
      <c r="I273" t="s">
        <v>80</v>
      </c>
      <c r="J273" t="s">
        <v>82</v>
      </c>
      <c r="K273" t="s">
        <v>47</v>
      </c>
      <c r="L273">
        <v>59</v>
      </c>
      <c r="M273">
        <v>21476</v>
      </c>
      <c r="N273">
        <v>16138.97</v>
      </c>
      <c r="O273">
        <v>5337.03</v>
      </c>
      <c r="P273">
        <v>246</v>
      </c>
      <c r="Q273">
        <v>5</v>
      </c>
      <c r="R273">
        <v>0</v>
      </c>
      <c r="S273" t="s">
        <v>37</v>
      </c>
      <c r="T273" t="s">
        <v>49</v>
      </c>
      <c r="U273" t="s">
        <v>39</v>
      </c>
      <c r="V273">
        <v>19.07</v>
      </c>
      <c r="W273">
        <v>72.87</v>
      </c>
      <c r="X273">
        <v>13515</v>
      </c>
      <c r="Y273">
        <v>17917</v>
      </c>
      <c r="Z273">
        <v>11799</v>
      </c>
      <c r="AA273">
        <v>15064</v>
      </c>
      <c r="AB273" t="s">
        <v>63</v>
      </c>
    </row>
    <row r="274" spans="1:28" x14ac:dyDescent="0.3">
      <c r="A274">
        <v>1272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s="1">
        <v>46114</v>
      </c>
      <c r="H274" t="s">
        <v>75</v>
      </c>
      <c r="I274" t="s">
        <v>57</v>
      </c>
      <c r="J274" t="s">
        <v>58</v>
      </c>
      <c r="K274" t="s">
        <v>78</v>
      </c>
      <c r="L274">
        <v>8</v>
      </c>
      <c r="M274">
        <v>2208</v>
      </c>
      <c r="N274">
        <v>1266.8599999999999</v>
      </c>
      <c r="O274">
        <v>941.14</v>
      </c>
      <c r="P274">
        <v>98</v>
      </c>
      <c r="Q274">
        <v>3.6</v>
      </c>
      <c r="R274">
        <v>5</v>
      </c>
      <c r="S274" t="s">
        <v>37</v>
      </c>
      <c r="T274" t="s">
        <v>49</v>
      </c>
      <c r="U274" t="s">
        <v>39</v>
      </c>
      <c r="V274">
        <v>12.97</v>
      </c>
      <c r="W274">
        <v>77.59</v>
      </c>
      <c r="X274">
        <v>12180</v>
      </c>
      <c r="Y274">
        <v>16097</v>
      </c>
      <c r="Z274">
        <v>10349</v>
      </c>
      <c r="AA274">
        <v>12227</v>
      </c>
      <c r="AB274" t="s">
        <v>56</v>
      </c>
    </row>
    <row r="275" spans="1:28" x14ac:dyDescent="0.3">
      <c r="A275">
        <v>1273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s="1">
        <v>46195</v>
      </c>
      <c r="H275" t="s">
        <v>68</v>
      </c>
      <c r="I275" t="s">
        <v>80</v>
      </c>
      <c r="J275" t="s">
        <v>82</v>
      </c>
      <c r="K275" t="s">
        <v>78</v>
      </c>
      <c r="L275">
        <v>31</v>
      </c>
      <c r="M275">
        <v>7006</v>
      </c>
      <c r="N275">
        <v>4372.71</v>
      </c>
      <c r="O275">
        <v>2633.29</v>
      </c>
      <c r="P275">
        <v>238</v>
      </c>
      <c r="Q275">
        <v>4.0999999999999996</v>
      </c>
      <c r="R275">
        <v>10</v>
      </c>
      <c r="S275" t="s">
        <v>48</v>
      </c>
      <c r="T275" t="s">
        <v>38</v>
      </c>
      <c r="U275" t="s">
        <v>74</v>
      </c>
      <c r="V275">
        <v>12.97</v>
      </c>
      <c r="W275">
        <v>77.59</v>
      </c>
      <c r="X275">
        <v>7054</v>
      </c>
      <c r="Y275">
        <v>8208</v>
      </c>
      <c r="Z275">
        <v>6035</v>
      </c>
      <c r="AA275">
        <v>6851</v>
      </c>
      <c r="AB275" t="s">
        <v>79</v>
      </c>
    </row>
    <row r="276" spans="1:28" x14ac:dyDescent="0.3">
      <c r="A276">
        <v>1274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s="1">
        <v>46149</v>
      </c>
      <c r="H276" t="s">
        <v>54</v>
      </c>
      <c r="I276" t="s">
        <v>80</v>
      </c>
      <c r="J276" t="s">
        <v>81</v>
      </c>
      <c r="K276" t="s">
        <v>73</v>
      </c>
      <c r="L276">
        <v>10</v>
      </c>
      <c r="M276">
        <v>3270</v>
      </c>
      <c r="N276">
        <v>2231.62</v>
      </c>
      <c r="O276">
        <v>1038.3800000000001</v>
      </c>
      <c r="P276">
        <v>221</v>
      </c>
      <c r="Q276">
        <v>4.4000000000000004</v>
      </c>
      <c r="R276">
        <v>10</v>
      </c>
      <c r="S276" t="s">
        <v>48</v>
      </c>
      <c r="T276" t="s">
        <v>49</v>
      </c>
      <c r="U276" t="s">
        <v>39</v>
      </c>
      <c r="V276">
        <v>12.97</v>
      </c>
      <c r="W276">
        <v>77.59</v>
      </c>
      <c r="X276">
        <v>5798</v>
      </c>
      <c r="Y276">
        <v>9530</v>
      </c>
      <c r="Z276">
        <v>5264</v>
      </c>
      <c r="AA276">
        <v>8375</v>
      </c>
      <c r="AB276" t="s">
        <v>63</v>
      </c>
    </row>
    <row r="277" spans="1:28" x14ac:dyDescent="0.3">
      <c r="A277">
        <v>1275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s="1">
        <v>46103</v>
      </c>
      <c r="H277" t="s">
        <v>71</v>
      </c>
      <c r="I277" t="s">
        <v>34</v>
      </c>
      <c r="J277" t="s">
        <v>46</v>
      </c>
      <c r="K277" t="s">
        <v>47</v>
      </c>
      <c r="L277">
        <v>13</v>
      </c>
      <c r="M277">
        <v>4771</v>
      </c>
      <c r="N277">
        <v>3631.31</v>
      </c>
      <c r="O277">
        <v>1139.69</v>
      </c>
      <c r="P277">
        <v>177</v>
      </c>
      <c r="Q277">
        <v>4.2</v>
      </c>
      <c r="R277">
        <v>0</v>
      </c>
      <c r="S277" t="s">
        <v>48</v>
      </c>
      <c r="T277" t="s">
        <v>76</v>
      </c>
      <c r="U277" t="s">
        <v>55</v>
      </c>
      <c r="V277">
        <v>12.97</v>
      </c>
      <c r="W277">
        <v>77.59</v>
      </c>
      <c r="X277">
        <v>6980</v>
      </c>
      <c r="Y277">
        <v>9073</v>
      </c>
      <c r="Z277">
        <v>5050</v>
      </c>
      <c r="AA277">
        <v>6177</v>
      </c>
      <c r="AB277" t="s">
        <v>40</v>
      </c>
    </row>
    <row r="278" spans="1:28" x14ac:dyDescent="0.3">
      <c r="A278">
        <v>1276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s="1">
        <v>46111</v>
      </c>
      <c r="H278" t="s">
        <v>71</v>
      </c>
      <c r="I278" t="s">
        <v>57</v>
      </c>
      <c r="J278" t="s">
        <v>58</v>
      </c>
      <c r="K278" t="s">
        <v>47</v>
      </c>
      <c r="L278">
        <v>50</v>
      </c>
      <c r="M278">
        <v>12200</v>
      </c>
      <c r="N278">
        <v>8165.37</v>
      </c>
      <c r="O278">
        <v>4034.63</v>
      </c>
      <c r="P278">
        <v>192</v>
      </c>
      <c r="Q278">
        <v>4.7</v>
      </c>
      <c r="R278">
        <v>0</v>
      </c>
      <c r="S278" t="s">
        <v>48</v>
      </c>
      <c r="T278" t="s">
        <v>76</v>
      </c>
      <c r="U278" t="s">
        <v>74</v>
      </c>
      <c r="V278">
        <v>12.97</v>
      </c>
      <c r="W278">
        <v>77.59</v>
      </c>
      <c r="X278">
        <v>12542</v>
      </c>
      <c r="Y278">
        <v>13628</v>
      </c>
      <c r="Z278">
        <v>10941</v>
      </c>
      <c r="AA278">
        <v>12526</v>
      </c>
      <c r="AB278" t="s">
        <v>79</v>
      </c>
    </row>
    <row r="279" spans="1:28" x14ac:dyDescent="0.3">
      <c r="A279">
        <v>1277</v>
      </c>
      <c r="B279" t="s">
        <v>60</v>
      </c>
      <c r="C279" t="s">
        <v>29</v>
      </c>
      <c r="D279" t="s">
        <v>61</v>
      </c>
      <c r="E279" t="s">
        <v>62</v>
      </c>
      <c r="F279" t="s">
        <v>32</v>
      </c>
      <c r="G279" s="1">
        <v>46179</v>
      </c>
      <c r="H279" t="s">
        <v>68</v>
      </c>
      <c r="I279" t="s">
        <v>34</v>
      </c>
      <c r="J279" t="s">
        <v>35</v>
      </c>
      <c r="K279" t="s">
        <v>59</v>
      </c>
      <c r="L279">
        <v>17</v>
      </c>
      <c r="M279">
        <v>6528</v>
      </c>
      <c r="N279">
        <v>4326.87</v>
      </c>
      <c r="O279">
        <v>2201.13</v>
      </c>
      <c r="P279">
        <v>90</v>
      </c>
      <c r="Q279">
        <v>4.8</v>
      </c>
      <c r="R279">
        <v>5</v>
      </c>
      <c r="S279" t="s">
        <v>37</v>
      </c>
      <c r="T279" t="s">
        <v>49</v>
      </c>
      <c r="U279" t="s">
        <v>39</v>
      </c>
      <c r="V279">
        <v>13.08</v>
      </c>
      <c r="W279">
        <v>80.27</v>
      </c>
      <c r="X279">
        <v>8496</v>
      </c>
      <c r="Y279">
        <v>9569</v>
      </c>
      <c r="Z279">
        <v>6560</v>
      </c>
      <c r="AA279">
        <v>8611</v>
      </c>
      <c r="AB279" t="s">
        <v>40</v>
      </c>
    </row>
    <row r="280" spans="1:28" x14ac:dyDescent="0.3">
      <c r="A280">
        <v>1278</v>
      </c>
      <c r="B280" t="s">
        <v>41</v>
      </c>
      <c r="C280" t="s">
        <v>29</v>
      </c>
      <c r="D280" t="s">
        <v>42</v>
      </c>
      <c r="E280" t="s">
        <v>43</v>
      </c>
      <c r="F280" t="s">
        <v>44</v>
      </c>
      <c r="G280" s="1">
        <v>46091</v>
      </c>
      <c r="H280" t="s">
        <v>71</v>
      </c>
      <c r="I280" t="s">
        <v>57</v>
      </c>
      <c r="J280" t="s">
        <v>58</v>
      </c>
      <c r="K280" t="s">
        <v>47</v>
      </c>
      <c r="L280">
        <v>24</v>
      </c>
      <c r="M280">
        <v>6720</v>
      </c>
      <c r="N280">
        <v>5230.01</v>
      </c>
      <c r="O280">
        <v>1489.99</v>
      </c>
      <c r="P280">
        <v>113</v>
      </c>
      <c r="Q280">
        <v>4.5999999999999996</v>
      </c>
      <c r="R280">
        <v>15</v>
      </c>
      <c r="S280" t="s">
        <v>48</v>
      </c>
      <c r="T280" t="s">
        <v>38</v>
      </c>
      <c r="U280" t="s">
        <v>55</v>
      </c>
      <c r="V280">
        <v>28.61</v>
      </c>
      <c r="W280">
        <v>77.2</v>
      </c>
      <c r="X280">
        <v>13881</v>
      </c>
      <c r="Y280">
        <v>17109</v>
      </c>
      <c r="Z280">
        <v>12220</v>
      </c>
      <c r="AA280">
        <v>12603</v>
      </c>
      <c r="AB280" t="s">
        <v>40</v>
      </c>
    </row>
    <row r="281" spans="1:28" x14ac:dyDescent="0.3">
      <c r="A281">
        <v>1279</v>
      </c>
      <c r="B281" t="s">
        <v>65</v>
      </c>
      <c r="C281" t="s">
        <v>29</v>
      </c>
      <c r="D281" t="s">
        <v>66</v>
      </c>
      <c r="E281" t="s">
        <v>67</v>
      </c>
      <c r="F281" t="s">
        <v>32</v>
      </c>
      <c r="G281" s="1">
        <v>46199</v>
      </c>
      <c r="H281" t="s">
        <v>68</v>
      </c>
      <c r="I281" t="s">
        <v>80</v>
      </c>
      <c r="J281" t="s">
        <v>82</v>
      </c>
      <c r="K281" t="s">
        <v>36</v>
      </c>
      <c r="L281">
        <v>31</v>
      </c>
      <c r="M281">
        <v>9393</v>
      </c>
      <c r="N281">
        <v>5417.62</v>
      </c>
      <c r="O281">
        <v>3975.38</v>
      </c>
      <c r="P281">
        <v>103</v>
      </c>
      <c r="Q281">
        <v>3.9</v>
      </c>
      <c r="R281">
        <v>0</v>
      </c>
      <c r="S281" t="s">
        <v>37</v>
      </c>
      <c r="T281" t="s">
        <v>49</v>
      </c>
      <c r="U281" t="s">
        <v>39</v>
      </c>
      <c r="V281">
        <v>9.93</v>
      </c>
      <c r="W281">
        <v>76.260000000000005</v>
      </c>
      <c r="X281">
        <v>11405</v>
      </c>
      <c r="Y281">
        <v>13465</v>
      </c>
      <c r="Z281">
        <v>10602</v>
      </c>
      <c r="AA281">
        <v>12104</v>
      </c>
      <c r="AB281" t="s">
        <v>56</v>
      </c>
    </row>
    <row r="282" spans="1:28" x14ac:dyDescent="0.3">
      <c r="A282">
        <v>1280</v>
      </c>
      <c r="B282" t="s">
        <v>60</v>
      </c>
      <c r="C282" t="s">
        <v>29</v>
      </c>
      <c r="D282" t="s">
        <v>61</v>
      </c>
      <c r="E282" t="s">
        <v>62</v>
      </c>
      <c r="F282" t="s">
        <v>32</v>
      </c>
      <c r="G282" s="1">
        <v>46152</v>
      </c>
      <c r="H282" t="s">
        <v>54</v>
      </c>
      <c r="I282" t="s">
        <v>57</v>
      </c>
      <c r="J282" t="s">
        <v>83</v>
      </c>
      <c r="K282" t="s">
        <v>78</v>
      </c>
      <c r="L282">
        <v>45</v>
      </c>
      <c r="M282">
        <v>8415</v>
      </c>
      <c r="N282">
        <v>6085.13</v>
      </c>
      <c r="O282">
        <v>2329.87</v>
      </c>
      <c r="P282">
        <v>292</v>
      </c>
      <c r="Q282">
        <v>4.5999999999999996</v>
      </c>
      <c r="R282">
        <v>15</v>
      </c>
      <c r="S282" t="s">
        <v>48</v>
      </c>
      <c r="T282" t="s">
        <v>49</v>
      </c>
      <c r="U282" t="s">
        <v>39</v>
      </c>
      <c r="V282">
        <v>13.08</v>
      </c>
      <c r="W282">
        <v>80.27</v>
      </c>
      <c r="X282">
        <v>10533</v>
      </c>
      <c r="Y282">
        <v>15433</v>
      </c>
      <c r="Z282">
        <v>9238</v>
      </c>
      <c r="AA282">
        <v>11716</v>
      </c>
      <c r="AB282" t="s">
        <v>63</v>
      </c>
    </row>
    <row r="283" spans="1:28" x14ac:dyDescent="0.3">
      <c r="A283">
        <v>1281</v>
      </c>
      <c r="B283" t="s">
        <v>41</v>
      </c>
      <c r="C283" t="s">
        <v>29</v>
      </c>
      <c r="D283" t="s">
        <v>42</v>
      </c>
      <c r="E283" t="s">
        <v>43</v>
      </c>
      <c r="F283" t="s">
        <v>44</v>
      </c>
      <c r="G283" s="1">
        <v>46116</v>
      </c>
      <c r="H283" t="s">
        <v>75</v>
      </c>
      <c r="I283" t="s">
        <v>69</v>
      </c>
      <c r="J283" t="s">
        <v>72</v>
      </c>
      <c r="K283" t="s">
        <v>36</v>
      </c>
      <c r="L283">
        <v>9</v>
      </c>
      <c r="M283">
        <v>3465</v>
      </c>
      <c r="N283">
        <v>2697.2</v>
      </c>
      <c r="O283">
        <v>767.8</v>
      </c>
      <c r="P283">
        <v>191</v>
      </c>
      <c r="Q283">
        <v>4.8</v>
      </c>
      <c r="R283">
        <v>0</v>
      </c>
      <c r="S283" t="s">
        <v>37</v>
      </c>
      <c r="T283" t="s">
        <v>49</v>
      </c>
      <c r="U283" t="s">
        <v>55</v>
      </c>
      <c r="V283">
        <v>28.61</v>
      </c>
      <c r="W283">
        <v>77.2</v>
      </c>
      <c r="X283">
        <v>9947</v>
      </c>
      <c r="Y283">
        <v>14735</v>
      </c>
      <c r="Z283">
        <v>8634</v>
      </c>
      <c r="AA283">
        <v>13225</v>
      </c>
      <c r="AB283" t="s">
        <v>63</v>
      </c>
    </row>
    <row r="284" spans="1:28" x14ac:dyDescent="0.3">
      <c r="A284">
        <v>1282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s="1">
        <v>46198</v>
      </c>
      <c r="H284" t="s">
        <v>68</v>
      </c>
      <c r="I284" t="s">
        <v>80</v>
      </c>
      <c r="J284" t="s">
        <v>81</v>
      </c>
      <c r="K284" t="s">
        <v>47</v>
      </c>
      <c r="L284">
        <v>15</v>
      </c>
      <c r="M284">
        <v>5430</v>
      </c>
      <c r="N284">
        <v>4232.99</v>
      </c>
      <c r="O284">
        <v>1197.01</v>
      </c>
      <c r="P284">
        <v>264</v>
      </c>
      <c r="Q284">
        <v>4.2</v>
      </c>
      <c r="R284">
        <v>0</v>
      </c>
      <c r="S284" t="s">
        <v>48</v>
      </c>
      <c r="T284" t="s">
        <v>38</v>
      </c>
      <c r="U284" t="s">
        <v>55</v>
      </c>
      <c r="V284">
        <v>12.97</v>
      </c>
      <c r="W284">
        <v>77.59</v>
      </c>
      <c r="X284">
        <v>7298</v>
      </c>
      <c r="Y284">
        <v>11799</v>
      </c>
      <c r="Z284">
        <v>5537</v>
      </c>
      <c r="AA284">
        <v>9161</v>
      </c>
      <c r="AB284" t="s">
        <v>40</v>
      </c>
    </row>
    <row r="285" spans="1:28" x14ac:dyDescent="0.3">
      <c r="A285">
        <v>1283</v>
      </c>
      <c r="B285" t="s">
        <v>41</v>
      </c>
      <c r="C285" t="s">
        <v>29</v>
      </c>
      <c r="D285" t="s">
        <v>42</v>
      </c>
      <c r="E285" t="s">
        <v>43</v>
      </c>
      <c r="F285" t="s">
        <v>44</v>
      </c>
      <c r="G285" s="1">
        <v>46075</v>
      </c>
      <c r="H285" t="s">
        <v>33</v>
      </c>
      <c r="I285" t="s">
        <v>69</v>
      </c>
      <c r="J285" t="s">
        <v>72</v>
      </c>
      <c r="K285" t="s">
        <v>59</v>
      </c>
      <c r="L285">
        <v>50</v>
      </c>
      <c r="M285">
        <v>11250</v>
      </c>
      <c r="N285">
        <v>8648.92</v>
      </c>
      <c r="O285">
        <v>2601.08</v>
      </c>
      <c r="P285">
        <v>96</v>
      </c>
      <c r="Q285">
        <v>4.0999999999999996</v>
      </c>
      <c r="R285">
        <v>10</v>
      </c>
      <c r="S285" t="s">
        <v>37</v>
      </c>
      <c r="T285" t="s">
        <v>38</v>
      </c>
      <c r="U285" t="s">
        <v>39</v>
      </c>
      <c r="V285">
        <v>28.61</v>
      </c>
      <c r="W285">
        <v>77.2</v>
      </c>
      <c r="X285">
        <v>9554</v>
      </c>
      <c r="Y285">
        <v>12620</v>
      </c>
      <c r="Z285">
        <v>7597</v>
      </c>
      <c r="AA285">
        <v>9545</v>
      </c>
      <c r="AB285" t="s">
        <v>40</v>
      </c>
    </row>
    <row r="286" spans="1:28" x14ac:dyDescent="0.3">
      <c r="A286">
        <v>1284</v>
      </c>
      <c r="B286" t="s">
        <v>65</v>
      </c>
      <c r="C286" t="s">
        <v>29</v>
      </c>
      <c r="D286" t="s">
        <v>66</v>
      </c>
      <c r="E286" t="s">
        <v>67</v>
      </c>
      <c r="F286" t="s">
        <v>32</v>
      </c>
      <c r="G286" s="1">
        <v>46073</v>
      </c>
      <c r="H286" t="s">
        <v>33</v>
      </c>
      <c r="I286" t="s">
        <v>57</v>
      </c>
      <c r="J286" t="s">
        <v>83</v>
      </c>
      <c r="K286" t="s">
        <v>36</v>
      </c>
      <c r="L286">
        <v>32</v>
      </c>
      <c r="M286">
        <v>12608</v>
      </c>
      <c r="N286">
        <v>9686.5400000000009</v>
      </c>
      <c r="O286">
        <v>2921.46</v>
      </c>
      <c r="P286">
        <v>46</v>
      </c>
      <c r="Q286">
        <v>4.4000000000000004</v>
      </c>
      <c r="R286">
        <v>15</v>
      </c>
      <c r="S286" t="s">
        <v>37</v>
      </c>
      <c r="T286" t="s">
        <v>49</v>
      </c>
      <c r="U286" t="s">
        <v>55</v>
      </c>
      <c r="V286">
        <v>9.93</v>
      </c>
      <c r="W286">
        <v>76.260000000000005</v>
      </c>
      <c r="X286">
        <v>9158</v>
      </c>
      <c r="Y286">
        <v>13769</v>
      </c>
      <c r="Z286">
        <v>8110</v>
      </c>
      <c r="AA286">
        <v>10942</v>
      </c>
      <c r="AB286" t="s">
        <v>56</v>
      </c>
    </row>
    <row r="287" spans="1:28" x14ac:dyDescent="0.3">
      <c r="A287">
        <v>1285</v>
      </c>
      <c r="B287" t="s">
        <v>60</v>
      </c>
      <c r="C287" t="s">
        <v>29</v>
      </c>
      <c r="D287" t="s">
        <v>61</v>
      </c>
      <c r="E287" t="s">
        <v>62</v>
      </c>
      <c r="F287" t="s">
        <v>32</v>
      </c>
      <c r="G287" s="1">
        <v>46181</v>
      </c>
      <c r="H287" t="s">
        <v>68</v>
      </c>
      <c r="I287" t="s">
        <v>80</v>
      </c>
      <c r="J287" t="s">
        <v>81</v>
      </c>
      <c r="K287" t="s">
        <v>59</v>
      </c>
      <c r="L287">
        <v>15</v>
      </c>
      <c r="M287">
        <v>5790</v>
      </c>
      <c r="N287">
        <v>4131.1499999999996</v>
      </c>
      <c r="O287">
        <v>1658.85</v>
      </c>
      <c r="P287">
        <v>256</v>
      </c>
      <c r="Q287">
        <v>4.0999999999999996</v>
      </c>
      <c r="R287">
        <v>15</v>
      </c>
      <c r="S287" t="s">
        <v>37</v>
      </c>
      <c r="T287" t="s">
        <v>76</v>
      </c>
      <c r="U287" t="s">
        <v>55</v>
      </c>
      <c r="V287">
        <v>13.08</v>
      </c>
      <c r="W287">
        <v>80.27</v>
      </c>
      <c r="X287">
        <v>8484</v>
      </c>
      <c r="Y287">
        <v>11806</v>
      </c>
      <c r="Z287">
        <v>7900</v>
      </c>
      <c r="AA287">
        <v>8536</v>
      </c>
      <c r="AB287" t="s">
        <v>79</v>
      </c>
    </row>
    <row r="288" spans="1:28" x14ac:dyDescent="0.3">
      <c r="A288">
        <v>1286</v>
      </c>
      <c r="B288" t="s">
        <v>65</v>
      </c>
      <c r="C288" t="s">
        <v>29</v>
      </c>
      <c r="D288" t="s">
        <v>66</v>
      </c>
      <c r="E288" t="s">
        <v>67</v>
      </c>
      <c r="F288" t="s">
        <v>32</v>
      </c>
      <c r="G288" s="1">
        <v>46062</v>
      </c>
      <c r="H288" t="s">
        <v>33</v>
      </c>
      <c r="I288" t="s">
        <v>69</v>
      </c>
      <c r="J288" t="s">
        <v>70</v>
      </c>
      <c r="K288" t="s">
        <v>47</v>
      </c>
      <c r="L288">
        <v>5</v>
      </c>
      <c r="M288">
        <v>2005</v>
      </c>
      <c r="N288">
        <v>1367.77</v>
      </c>
      <c r="O288">
        <v>637.23</v>
      </c>
      <c r="P288">
        <v>170</v>
      </c>
      <c r="Q288">
        <v>4.4000000000000004</v>
      </c>
      <c r="R288">
        <v>10</v>
      </c>
      <c r="S288" t="s">
        <v>64</v>
      </c>
      <c r="T288" t="s">
        <v>38</v>
      </c>
      <c r="U288" t="s">
        <v>74</v>
      </c>
      <c r="V288">
        <v>9.93</v>
      </c>
      <c r="W288">
        <v>76.260000000000005</v>
      </c>
      <c r="X288">
        <v>12117</v>
      </c>
      <c r="Y288">
        <v>13221</v>
      </c>
      <c r="Z288">
        <v>11392</v>
      </c>
      <c r="AA288">
        <v>12694</v>
      </c>
      <c r="AB288" t="s">
        <v>56</v>
      </c>
    </row>
    <row r="289" spans="1:28" x14ac:dyDescent="0.3">
      <c r="A289">
        <v>1287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s="1">
        <v>46179</v>
      </c>
      <c r="H289" t="s">
        <v>68</v>
      </c>
      <c r="I289" t="s">
        <v>80</v>
      </c>
      <c r="J289" t="s">
        <v>81</v>
      </c>
      <c r="K289" t="s">
        <v>47</v>
      </c>
      <c r="L289">
        <v>10</v>
      </c>
      <c r="M289">
        <v>2770</v>
      </c>
      <c r="N289">
        <v>1918.01</v>
      </c>
      <c r="O289">
        <v>851.99</v>
      </c>
      <c r="P289">
        <v>48</v>
      </c>
      <c r="Q289">
        <v>4.0999999999999996</v>
      </c>
      <c r="R289">
        <v>0</v>
      </c>
      <c r="S289" t="s">
        <v>37</v>
      </c>
      <c r="T289" t="s">
        <v>38</v>
      </c>
      <c r="U289" t="s">
        <v>74</v>
      </c>
      <c r="V289">
        <v>12.97</v>
      </c>
      <c r="W289">
        <v>77.59</v>
      </c>
      <c r="X289">
        <v>9989</v>
      </c>
      <c r="Y289">
        <v>11152</v>
      </c>
      <c r="Z289">
        <v>8165</v>
      </c>
      <c r="AA289">
        <v>9590</v>
      </c>
      <c r="AB289" t="s">
        <v>63</v>
      </c>
    </row>
    <row r="290" spans="1:28" x14ac:dyDescent="0.3">
      <c r="A290">
        <v>1288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s="1">
        <v>46193</v>
      </c>
      <c r="H290" t="s">
        <v>68</v>
      </c>
      <c r="I290" t="s">
        <v>69</v>
      </c>
      <c r="J290" t="s">
        <v>70</v>
      </c>
      <c r="K290" t="s">
        <v>47</v>
      </c>
      <c r="L290">
        <v>53</v>
      </c>
      <c r="M290">
        <v>14893</v>
      </c>
      <c r="N290">
        <v>9375.59</v>
      </c>
      <c r="O290">
        <v>5517.41</v>
      </c>
      <c r="P290">
        <v>233</v>
      </c>
      <c r="Q290">
        <v>4.5</v>
      </c>
      <c r="R290">
        <v>0</v>
      </c>
      <c r="S290" t="s">
        <v>37</v>
      </c>
      <c r="T290" t="s">
        <v>38</v>
      </c>
      <c r="U290" t="s">
        <v>39</v>
      </c>
      <c r="V290">
        <v>12.97</v>
      </c>
      <c r="W290">
        <v>77.59</v>
      </c>
      <c r="X290">
        <v>8682</v>
      </c>
      <c r="Y290">
        <v>10369</v>
      </c>
      <c r="Z290">
        <v>7481</v>
      </c>
      <c r="AA290">
        <v>9701</v>
      </c>
      <c r="AB290" t="s">
        <v>56</v>
      </c>
    </row>
    <row r="291" spans="1:28" x14ac:dyDescent="0.3">
      <c r="A291">
        <v>1289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s="1">
        <v>46041</v>
      </c>
      <c r="H291" t="s">
        <v>45</v>
      </c>
      <c r="I291" t="s">
        <v>69</v>
      </c>
      <c r="J291" t="s">
        <v>70</v>
      </c>
      <c r="K291" t="s">
        <v>47</v>
      </c>
      <c r="L291">
        <v>19</v>
      </c>
      <c r="M291">
        <v>6992</v>
      </c>
      <c r="N291">
        <v>5231.3999999999996</v>
      </c>
      <c r="O291">
        <v>1760.6</v>
      </c>
      <c r="P291">
        <v>203</v>
      </c>
      <c r="Q291">
        <v>4.2</v>
      </c>
      <c r="R291">
        <v>5</v>
      </c>
      <c r="S291" t="s">
        <v>64</v>
      </c>
      <c r="T291" t="s">
        <v>49</v>
      </c>
      <c r="U291" t="s">
        <v>39</v>
      </c>
      <c r="V291">
        <v>12.97</v>
      </c>
      <c r="W291">
        <v>77.59</v>
      </c>
      <c r="X291">
        <v>5410</v>
      </c>
      <c r="Y291">
        <v>7178</v>
      </c>
      <c r="Z291">
        <v>4900</v>
      </c>
      <c r="AA291">
        <v>6712</v>
      </c>
      <c r="AB291" t="s">
        <v>56</v>
      </c>
    </row>
    <row r="292" spans="1:28" x14ac:dyDescent="0.3">
      <c r="A292">
        <v>1290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s="1">
        <v>46145</v>
      </c>
      <c r="H292" t="s">
        <v>54</v>
      </c>
      <c r="I292" t="s">
        <v>80</v>
      </c>
      <c r="J292" t="s">
        <v>81</v>
      </c>
      <c r="K292" t="s">
        <v>59</v>
      </c>
      <c r="L292">
        <v>31</v>
      </c>
      <c r="M292">
        <v>12307</v>
      </c>
      <c r="N292">
        <v>8773.5</v>
      </c>
      <c r="O292">
        <v>3533.5</v>
      </c>
      <c r="P292">
        <v>246</v>
      </c>
      <c r="Q292">
        <v>5</v>
      </c>
      <c r="R292">
        <v>0</v>
      </c>
      <c r="S292" t="s">
        <v>37</v>
      </c>
      <c r="T292" t="s">
        <v>38</v>
      </c>
      <c r="U292" t="s">
        <v>39</v>
      </c>
      <c r="V292">
        <v>12.97</v>
      </c>
      <c r="W292">
        <v>77.59</v>
      </c>
      <c r="X292">
        <v>7894</v>
      </c>
      <c r="Y292">
        <v>10061</v>
      </c>
      <c r="Z292">
        <v>6053</v>
      </c>
      <c r="AA292">
        <v>9958</v>
      </c>
      <c r="AB292" t="s">
        <v>40</v>
      </c>
    </row>
    <row r="293" spans="1:28" x14ac:dyDescent="0.3">
      <c r="A293">
        <v>1291</v>
      </c>
      <c r="B293" t="s">
        <v>65</v>
      </c>
      <c r="C293" t="s">
        <v>29</v>
      </c>
      <c r="D293" t="s">
        <v>66</v>
      </c>
      <c r="E293" t="s">
        <v>67</v>
      </c>
      <c r="F293" t="s">
        <v>32</v>
      </c>
      <c r="G293" s="1">
        <v>46081</v>
      </c>
      <c r="H293" t="s">
        <v>33</v>
      </c>
      <c r="I293" t="s">
        <v>69</v>
      </c>
      <c r="J293" t="s">
        <v>70</v>
      </c>
      <c r="K293" t="s">
        <v>47</v>
      </c>
      <c r="L293">
        <v>38</v>
      </c>
      <c r="M293">
        <v>11210</v>
      </c>
      <c r="N293">
        <v>6440.96</v>
      </c>
      <c r="O293">
        <v>4769.04</v>
      </c>
      <c r="P293">
        <v>208</v>
      </c>
      <c r="Q293">
        <v>3.6</v>
      </c>
      <c r="R293">
        <v>0</v>
      </c>
      <c r="S293" t="s">
        <v>64</v>
      </c>
      <c r="T293" t="s">
        <v>49</v>
      </c>
      <c r="U293" t="s">
        <v>55</v>
      </c>
      <c r="V293">
        <v>9.93</v>
      </c>
      <c r="W293">
        <v>76.260000000000005</v>
      </c>
      <c r="X293">
        <v>11814</v>
      </c>
      <c r="Y293">
        <v>13478</v>
      </c>
      <c r="Z293">
        <v>10479</v>
      </c>
      <c r="AA293">
        <v>10995</v>
      </c>
      <c r="AB293" t="s">
        <v>79</v>
      </c>
    </row>
    <row r="294" spans="1:28" x14ac:dyDescent="0.3">
      <c r="A294">
        <v>1292</v>
      </c>
      <c r="B294" t="s">
        <v>41</v>
      </c>
      <c r="C294" t="s">
        <v>29</v>
      </c>
      <c r="D294" t="s">
        <v>42</v>
      </c>
      <c r="E294" t="s">
        <v>43</v>
      </c>
      <c r="F294" t="s">
        <v>44</v>
      </c>
      <c r="G294" s="1">
        <v>46197</v>
      </c>
      <c r="H294" t="s">
        <v>68</v>
      </c>
      <c r="I294" t="s">
        <v>34</v>
      </c>
      <c r="J294" t="s">
        <v>46</v>
      </c>
      <c r="K294" t="s">
        <v>73</v>
      </c>
      <c r="L294">
        <v>39</v>
      </c>
      <c r="M294">
        <v>8541</v>
      </c>
      <c r="N294">
        <v>5006.3599999999997</v>
      </c>
      <c r="O294">
        <v>3534.64</v>
      </c>
      <c r="P294">
        <v>181</v>
      </c>
      <c r="Q294">
        <v>4.4000000000000004</v>
      </c>
      <c r="R294">
        <v>10</v>
      </c>
      <c r="S294" t="s">
        <v>48</v>
      </c>
      <c r="T294" t="s">
        <v>38</v>
      </c>
      <c r="U294" t="s">
        <v>74</v>
      </c>
      <c r="V294">
        <v>28.61</v>
      </c>
      <c r="W294">
        <v>77.2</v>
      </c>
      <c r="X294">
        <v>10148</v>
      </c>
      <c r="Y294">
        <v>11997</v>
      </c>
      <c r="Z294">
        <v>8982</v>
      </c>
      <c r="AA294">
        <v>11854</v>
      </c>
      <c r="AB294" t="s">
        <v>40</v>
      </c>
    </row>
    <row r="295" spans="1:28" x14ac:dyDescent="0.3">
      <c r="A295">
        <v>1293</v>
      </c>
      <c r="B295" t="s">
        <v>60</v>
      </c>
      <c r="C295" t="s">
        <v>29</v>
      </c>
      <c r="D295" t="s">
        <v>61</v>
      </c>
      <c r="E295" t="s">
        <v>62</v>
      </c>
      <c r="F295" t="s">
        <v>32</v>
      </c>
      <c r="G295" s="1">
        <v>46129</v>
      </c>
      <c r="H295" t="s">
        <v>75</v>
      </c>
      <c r="I295" t="s">
        <v>57</v>
      </c>
      <c r="J295" t="s">
        <v>58</v>
      </c>
      <c r="K295" t="s">
        <v>36</v>
      </c>
      <c r="L295">
        <v>38</v>
      </c>
      <c r="M295">
        <v>14478</v>
      </c>
      <c r="N295">
        <v>10033</v>
      </c>
      <c r="O295">
        <v>4445</v>
      </c>
      <c r="P295">
        <v>66</v>
      </c>
      <c r="Q295">
        <v>3.8</v>
      </c>
      <c r="R295">
        <v>15</v>
      </c>
      <c r="S295" t="s">
        <v>64</v>
      </c>
      <c r="T295" t="s">
        <v>76</v>
      </c>
      <c r="U295" t="s">
        <v>74</v>
      </c>
      <c r="V295">
        <v>13.08</v>
      </c>
      <c r="W295">
        <v>80.27</v>
      </c>
      <c r="X295">
        <v>12350</v>
      </c>
      <c r="Y295">
        <v>15070</v>
      </c>
      <c r="Z295">
        <v>10975</v>
      </c>
      <c r="AA295">
        <v>14357</v>
      </c>
      <c r="AB295" t="s">
        <v>63</v>
      </c>
    </row>
    <row r="296" spans="1:28" x14ac:dyDescent="0.3">
      <c r="A296">
        <v>1294</v>
      </c>
      <c r="B296" t="s">
        <v>65</v>
      </c>
      <c r="C296" t="s">
        <v>29</v>
      </c>
      <c r="D296" t="s">
        <v>66</v>
      </c>
      <c r="E296" t="s">
        <v>67</v>
      </c>
      <c r="F296" t="s">
        <v>32</v>
      </c>
      <c r="G296" s="1">
        <v>46115</v>
      </c>
      <c r="H296" t="s">
        <v>75</v>
      </c>
      <c r="I296" t="s">
        <v>69</v>
      </c>
      <c r="J296" t="s">
        <v>70</v>
      </c>
      <c r="K296" t="s">
        <v>78</v>
      </c>
      <c r="L296">
        <v>59</v>
      </c>
      <c r="M296">
        <v>11741</v>
      </c>
      <c r="N296">
        <v>7471.72</v>
      </c>
      <c r="O296">
        <v>4269.28</v>
      </c>
      <c r="P296">
        <v>120</v>
      </c>
      <c r="Q296">
        <v>4</v>
      </c>
      <c r="R296">
        <v>0</v>
      </c>
      <c r="S296" t="s">
        <v>64</v>
      </c>
      <c r="T296" t="s">
        <v>38</v>
      </c>
      <c r="U296" t="s">
        <v>74</v>
      </c>
      <c r="V296">
        <v>9.93</v>
      </c>
      <c r="W296">
        <v>76.260000000000005</v>
      </c>
      <c r="X296">
        <v>9057</v>
      </c>
      <c r="Y296">
        <v>10405</v>
      </c>
      <c r="Z296">
        <v>7058</v>
      </c>
      <c r="AA296">
        <v>7139</v>
      </c>
      <c r="AB296" t="s">
        <v>79</v>
      </c>
    </row>
    <row r="297" spans="1:28" x14ac:dyDescent="0.3">
      <c r="A297">
        <v>1295</v>
      </c>
      <c r="B297" t="s">
        <v>60</v>
      </c>
      <c r="C297" t="s">
        <v>29</v>
      </c>
      <c r="D297" t="s">
        <v>61</v>
      </c>
      <c r="E297" t="s">
        <v>62</v>
      </c>
      <c r="F297" t="s">
        <v>32</v>
      </c>
      <c r="G297" s="1">
        <v>46095</v>
      </c>
      <c r="H297" t="s">
        <v>71</v>
      </c>
      <c r="I297" t="s">
        <v>69</v>
      </c>
      <c r="J297" t="s">
        <v>70</v>
      </c>
      <c r="K297" t="s">
        <v>78</v>
      </c>
      <c r="L297">
        <v>57</v>
      </c>
      <c r="M297">
        <v>23427</v>
      </c>
      <c r="N297">
        <v>13798.94</v>
      </c>
      <c r="O297">
        <v>9628.06</v>
      </c>
      <c r="P297">
        <v>194</v>
      </c>
      <c r="Q297">
        <v>4.5999999999999996</v>
      </c>
      <c r="R297">
        <v>10</v>
      </c>
      <c r="S297" t="s">
        <v>48</v>
      </c>
      <c r="T297" t="s">
        <v>38</v>
      </c>
      <c r="U297" t="s">
        <v>74</v>
      </c>
      <c r="V297">
        <v>13.08</v>
      </c>
      <c r="W297">
        <v>80.27</v>
      </c>
      <c r="X297">
        <v>12365</v>
      </c>
      <c r="Y297">
        <v>14976</v>
      </c>
      <c r="Z297">
        <v>10732</v>
      </c>
      <c r="AA297">
        <v>11803</v>
      </c>
      <c r="AB297" t="s">
        <v>56</v>
      </c>
    </row>
    <row r="298" spans="1:28" x14ac:dyDescent="0.3">
      <c r="A298">
        <v>1296</v>
      </c>
      <c r="B298" t="s">
        <v>65</v>
      </c>
      <c r="C298" t="s">
        <v>29</v>
      </c>
      <c r="D298" t="s">
        <v>66</v>
      </c>
      <c r="E298" t="s">
        <v>67</v>
      </c>
      <c r="F298" t="s">
        <v>32</v>
      </c>
      <c r="G298" s="1">
        <v>46172</v>
      </c>
      <c r="H298" t="s">
        <v>54</v>
      </c>
      <c r="I298" t="s">
        <v>34</v>
      </c>
      <c r="J298" t="s">
        <v>77</v>
      </c>
      <c r="K298" t="s">
        <v>73</v>
      </c>
      <c r="L298">
        <v>7</v>
      </c>
      <c r="M298">
        <v>1694</v>
      </c>
      <c r="N298">
        <v>1278.52</v>
      </c>
      <c r="O298">
        <v>415.48</v>
      </c>
      <c r="P298">
        <v>152</v>
      </c>
      <c r="Q298">
        <v>4.5999999999999996</v>
      </c>
      <c r="R298">
        <v>10</v>
      </c>
      <c r="S298" t="s">
        <v>48</v>
      </c>
      <c r="T298" t="s">
        <v>38</v>
      </c>
      <c r="U298" t="s">
        <v>74</v>
      </c>
      <c r="V298">
        <v>9.93</v>
      </c>
      <c r="W298">
        <v>76.260000000000005</v>
      </c>
      <c r="X298">
        <v>5436</v>
      </c>
      <c r="Y298">
        <v>9429</v>
      </c>
      <c r="Z298">
        <v>3539</v>
      </c>
      <c r="AA298">
        <v>4784</v>
      </c>
      <c r="AB298" t="s">
        <v>56</v>
      </c>
    </row>
    <row r="299" spans="1:28" x14ac:dyDescent="0.3">
      <c r="A299">
        <v>1297</v>
      </c>
      <c r="B299" t="s">
        <v>50</v>
      </c>
      <c r="C299" t="s">
        <v>29</v>
      </c>
      <c r="D299" t="s">
        <v>51</v>
      </c>
      <c r="E299" t="s">
        <v>52</v>
      </c>
      <c r="F299" t="s">
        <v>53</v>
      </c>
      <c r="G299" s="1">
        <v>46147</v>
      </c>
      <c r="H299" t="s">
        <v>54</v>
      </c>
      <c r="I299" t="s">
        <v>57</v>
      </c>
      <c r="J299" t="s">
        <v>83</v>
      </c>
      <c r="K299" t="s">
        <v>73</v>
      </c>
      <c r="L299">
        <v>22</v>
      </c>
      <c r="M299">
        <v>4180</v>
      </c>
      <c r="N299">
        <v>2414.91</v>
      </c>
      <c r="O299">
        <v>1765.09</v>
      </c>
      <c r="P299">
        <v>291</v>
      </c>
      <c r="Q299">
        <v>4.7</v>
      </c>
      <c r="R299">
        <v>5</v>
      </c>
      <c r="S299" t="s">
        <v>64</v>
      </c>
      <c r="T299" t="s">
        <v>38</v>
      </c>
      <c r="U299" t="s">
        <v>55</v>
      </c>
      <c r="V299">
        <v>19.07</v>
      </c>
      <c r="W299">
        <v>72.87</v>
      </c>
      <c r="X299">
        <v>10840</v>
      </c>
      <c r="Y299">
        <v>12568</v>
      </c>
      <c r="Z299">
        <v>9005</v>
      </c>
      <c r="AA299">
        <v>10866</v>
      </c>
      <c r="AB299" t="s">
        <v>63</v>
      </c>
    </row>
    <row r="300" spans="1:28" x14ac:dyDescent="0.3">
      <c r="A300">
        <v>1298</v>
      </c>
      <c r="B300" t="s">
        <v>41</v>
      </c>
      <c r="C300" t="s">
        <v>29</v>
      </c>
      <c r="D300" t="s">
        <v>42</v>
      </c>
      <c r="E300" t="s">
        <v>43</v>
      </c>
      <c r="F300" t="s">
        <v>44</v>
      </c>
      <c r="G300" s="1">
        <v>46051</v>
      </c>
      <c r="H300" t="s">
        <v>45</v>
      </c>
      <c r="I300" t="s">
        <v>34</v>
      </c>
      <c r="J300" t="s">
        <v>46</v>
      </c>
      <c r="K300" t="s">
        <v>78</v>
      </c>
      <c r="L300">
        <v>59</v>
      </c>
      <c r="M300">
        <v>22656</v>
      </c>
      <c r="N300">
        <v>15157.59</v>
      </c>
      <c r="O300">
        <v>7498.41</v>
      </c>
      <c r="P300">
        <v>145</v>
      </c>
      <c r="Q300">
        <v>3.8</v>
      </c>
      <c r="R300">
        <v>10</v>
      </c>
      <c r="S300" t="s">
        <v>37</v>
      </c>
      <c r="T300" t="s">
        <v>49</v>
      </c>
      <c r="U300" t="s">
        <v>55</v>
      </c>
      <c r="V300">
        <v>28.61</v>
      </c>
      <c r="W300">
        <v>77.2</v>
      </c>
      <c r="X300">
        <v>6438</v>
      </c>
      <c r="Y300">
        <v>11264</v>
      </c>
      <c r="Z300">
        <v>5017</v>
      </c>
      <c r="AA300">
        <v>8518</v>
      </c>
      <c r="AB300" t="s">
        <v>56</v>
      </c>
    </row>
    <row r="301" spans="1:28" x14ac:dyDescent="0.3">
      <c r="A301">
        <v>1299</v>
      </c>
      <c r="B301" t="s">
        <v>50</v>
      </c>
      <c r="C301" t="s">
        <v>29</v>
      </c>
      <c r="D301" t="s">
        <v>51</v>
      </c>
      <c r="E301" t="s">
        <v>52</v>
      </c>
      <c r="F301" t="s">
        <v>53</v>
      </c>
      <c r="G301" s="1">
        <v>46201</v>
      </c>
      <c r="H301" t="s">
        <v>68</v>
      </c>
      <c r="I301" t="s">
        <v>57</v>
      </c>
      <c r="J301" t="s">
        <v>83</v>
      </c>
      <c r="K301" t="s">
        <v>36</v>
      </c>
      <c r="L301">
        <v>43</v>
      </c>
      <c r="M301">
        <v>12642</v>
      </c>
      <c r="N301">
        <v>8162.81</v>
      </c>
      <c r="O301">
        <v>4479.1899999999996</v>
      </c>
      <c r="P301">
        <v>216</v>
      </c>
      <c r="Q301">
        <v>4.4000000000000004</v>
      </c>
      <c r="R301">
        <v>15</v>
      </c>
      <c r="S301" t="s">
        <v>64</v>
      </c>
      <c r="T301" t="s">
        <v>76</v>
      </c>
      <c r="U301" t="s">
        <v>39</v>
      </c>
      <c r="V301">
        <v>19.07</v>
      </c>
      <c r="W301">
        <v>72.87</v>
      </c>
      <c r="X301">
        <v>8707</v>
      </c>
      <c r="Y301">
        <v>10232</v>
      </c>
      <c r="Z301">
        <v>7077</v>
      </c>
      <c r="AA301">
        <v>8563</v>
      </c>
      <c r="AB301" t="s">
        <v>63</v>
      </c>
    </row>
    <row r="302" spans="1:28" x14ac:dyDescent="0.3">
      <c r="A302">
        <v>1300</v>
      </c>
      <c r="B302" t="s">
        <v>41</v>
      </c>
      <c r="C302" t="s">
        <v>29</v>
      </c>
      <c r="D302" t="s">
        <v>42</v>
      </c>
      <c r="E302" t="s">
        <v>43</v>
      </c>
      <c r="F302" t="s">
        <v>44</v>
      </c>
      <c r="G302" s="1">
        <v>46199</v>
      </c>
      <c r="H302" t="s">
        <v>68</v>
      </c>
      <c r="I302" t="s">
        <v>34</v>
      </c>
      <c r="J302" t="s">
        <v>77</v>
      </c>
      <c r="K302" t="s">
        <v>47</v>
      </c>
      <c r="L302">
        <v>5</v>
      </c>
      <c r="M302">
        <v>1360</v>
      </c>
      <c r="N302">
        <v>904.43</v>
      </c>
      <c r="O302">
        <v>455.57</v>
      </c>
      <c r="P302">
        <v>107</v>
      </c>
      <c r="Q302">
        <v>4</v>
      </c>
      <c r="R302">
        <v>10</v>
      </c>
      <c r="S302" t="s">
        <v>64</v>
      </c>
      <c r="T302" t="s">
        <v>76</v>
      </c>
      <c r="U302" t="s">
        <v>39</v>
      </c>
      <c r="V302">
        <v>28.61</v>
      </c>
      <c r="W302">
        <v>77.2</v>
      </c>
      <c r="X302">
        <v>11115</v>
      </c>
      <c r="Y302">
        <v>14399</v>
      </c>
      <c r="Z302">
        <v>9879</v>
      </c>
      <c r="AA302">
        <v>11972</v>
      </c>
      <c r="AB302" t="s">
        <v>56</v>
      </c>
    </row>
    <row r="303" spans="1:28" x14ac:dyDescent="0.3">
      <c r="A303">
        <v>1301</v>
      </c>
      <c r="B303" t="s">
        <v>65</v>
      </c>
      <c r="C303" t="s">
        <v>29</v>
      </c>
      <c r="D303" t="s">
        <v>66</v>
      </c>
      <c r="E303" t="s">
        <v>67</v>
      </c>
      <c r="F303" t="s">
        <v>32</v>
      </c>
      <c r="G303" s="1">
        <v>46159</v>
      </c>
      <c r="H303" t="s">
        <v>54</v>
      </c>
      <c r="I303" t="s">
        <v>57</v>
      </c>
      <c r="J303" t="s">
        <v>58</v>
      </c>
      <c r="K303" t="s">
        <v>78</v>
      </c>
      <c r="L303">
        <v>36</v>
      </c>
      <c r="M303">
        <v>11736</v>
      </c>
      <c r="N303">
        <v>6835.11</v>
      </c>
      <c r="O303">
        <v>4900.8900000000003</v>
      </c>
      <c r="P303">
        <v>277</v>
      </c>
      <c r="Q303">
        <v>3.8</v>
      </c>
      <c r="R303">
        <v>15</v>
      </c>
      <c r="S303" t="s">
        <v>48</v>
      </c>
      <c r="T303" t="s">
        <v>76</v>
      </c>
      <c r="U303" t="s">
        <v>39</v>
      </c>
      <c r="V303">
        <v>9.93</v>
      </c>
      <c r="W303">
        <v>76.260000000000005</v>
      </c>
      <c r="X303">
        <v>14872</v>
      </c>
      <c r="Y303">
        <v>15962</v>
      </c>
      <c r="Z303">
        <v>13689</v>
      </c>
      <c r="AA303">
        <v>14479</v>
      </c>
      <c r="AB303" t="s">
        <v>40</v>
      </c>
    </row>
    <row r="304" spans="1:28" x14ac:dyDescent="0.3">
      <c r="A304">
        <v>1302</v>
      </c>
      <c r="B304" t="s">
        <v>65</v>
      </c>
      <c r="C304" t="s">
        <v>29</v>
      </c>
      <c r="D304" t="s">
        <v>66</v>
      </c>
      <c r="E304" t="s">
        <v>67</v>
      </c>
      <c r="F304" t="s">
        <v>32</v>
      </c>
      <c r="G304" s="1">
        <v>46033</v>
      </c>
      <c r="H304" t="s">
        <v>45</v>
      </c>
      <c r="I304" t="s">
        <v>57</v>
      </c>
      <c r="J304" t="s">
        <v>58</v>
      </c>
      <c r="K304" t="s">
        <v>59</v>
      </c>
      <c r="L304">
        <v>38</v>
      </c>
      <c r="M304">
        <v>10412</v>
      </c>
      <c r="N304">
        <v>7873.97</v>
      </c>
      <c r="O304">
        <v>2538.0300000000002</v>
      </c>
      <c r="P304">
        <v>47</v>
      </c>
      <c r="Q304">
        <v>4.8</v>
      </c>
      <c r="R304">
        <v>10</v>
      </c>
      <c r="S304" t="s">
        <v>64</v>
      </c>
      <c r="T304" t="s">
        <v>38</v>
      </c>
      <c r="U304" t="s">
        <v>74</v>
      </c>
      <c r="V304">
        <v>9.93</v>
      </c>
      <c r="W304">
        <v>76.260000000000005</v>
      </c>
      <c r="X304">
        <v>8193</v>
      </c>
      <c r="Y304">
        <v>9205</v>
      </c>
      <c r="Z304">
        <v>6608</v>
      </c>
      <c r="AA304">
        <v>6694</v>
      </c>
      <c r="AB304" t="s">
        <v>40</v>
      </c>
    </row>
    <row r="305" spans="1:28" x14ac:dyDescent="0.3">
      <c r="A305">
        <v>1303</v>
      </c>
      <c r="B305" t="s">
        <v>41</v>
      </c>
      <c r="C305" t="s">
        <v>29</v>
      </c>
      <c r="D305" t="s">
        <v>42</v>
      </c>
      <c r="E305" t="s">
        <v>43</v>
      </c>
      <c r="F305" t="s">
        <v>44</v>
      </c>
      <c r="G305" s="1">
        <v>46031</v>
      </c>
      <c r="H305" t="s">
        <v>45</v>
      </c>
      <c r="I305" t="s">
        <v>80</v>
      </c>
      <c r="J305" t="s">
        <v>81</v>
      </c>
      <c r="K305" t="s">
        <v>73</v>
      </c>
      <c r="L305">
        <v>6</v>
      </c>
      <c r="M305">
        <v>2304</v>
      </c>
      <c r="N305">
        <v>1472.21</v>
      </c>
      <c r="O305">
        <v>831.79</v>
      </c>
      <c r="P305">
        <v>236</v>
      </c>
      <c r="Q305">
        <v>4.4000000000000004</v>
      </c>
      <c r="R305">
        <v>10</v>
      </c>
      <c r="S305" t="s">
        <v>37</v>
      </c>
      <c r="T305" t="s">
        <v>38</v>
      </c>
      <c r="U305" t="s">
        <v>74</v>
      </c>
      <c r="V305">
        <v>28.61</v>
      </c>
      <c r="W305">
        <v>77.2</v>
      </c>
      <c r="X305">
        <v>9118</v>
      </c>
      <c r="Y305">
        <v>10350</v>
      </c>
      <c r="Z305">
        <v>8346</v>
      </c>
      <c r="AA305">
        <v>9846</v>
      </c>
      <c r="AB305" t="s">
        <v>56</v>
      </c>
    </row>
    <row r="306" spans="1:28" x14ac:dyDescent="0.3">
      <c r="A306">
        <v>1304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s="1">
        <v>46125</v>
      </c>
      <c r="H306" t="s">
        <v>75</v>
      </c>
      <c r="I306" t="s">
        <v>69</v>
      </c>
      <c r="J306" t="s">
        <v>72</v>
      </c>
      <c r="K306" t="s">
        <v>78</v>
      </c>
      <c r="L306">
        <v>16</v>
      </c>
      <c r="M306">
        <v>6592</v>
      </c>
      <c r="N306">
        <v>4962.8</v>
      </c>
      <c r="O306">
        <v>1629.2</v>
      </c>
      <c r="P306">
        <v>224</v>
      </c>
      <c r="Q306">
        <v>4.3</v>
      </c>
      <c r="R306">
        <v>5</v>
      </c>
      <c r="S306" t="s">
        <v>64</v>
      </c>
      <c r="T306" t="s">
        <v>38</v>
      </c>
      <c r="U306" t="s">
        <v>39</v>
      </c>
      <c r="V306">
        <v>12.97</v>
      </c>
      <c r="W306">
        <v>77.59</v>
      </c>
      <c r="X306">
        <v>11083</v>
      </c>
      <c r="Y306">
        <v>12897</v>
      </c>
      <c r="Z306">
        <v>9656</v>
      </c>
      <c r="AA306">
        <v>12101</v>
      </c>
      <c r="AB306" t="s">
        <v>56</v>
      </c>
    </row>
    <row r="307" spans="1:28" x14ac:dyDescent="0.3">
      <c r="A307">
        <v>1305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s="1">
        <v>46048</v>
      </c>
      <c r="H307" t="s">
        <v>45</v>
      </c>
      <c r="I307" t="s">
        <v>57</v>
      </c>
      <c r="J307" t="s">
        <v>58</v>
      </c>
      <c r="K307" t="s">
        <v>36</v>
      </c>
      <c r="L307">
        <v>20</v>
      </c>
      <c r="M307">
        <v>6760</v>
      </c>
      <c r="N307">
        <v>4067.01</v>
      </c>
      <c r="O307">
        <v>2692.99</v>
      </c>
      <c r="P307">
        <v>213</v>
      </c>
      <c r="Q307">
        <v>4.4000000000000004</v>
      </c>
      <c r="R307">
        <v>0</v>
      </c>
      <c r="S307" t="s">
        <v>64</v>
      </c>
      <c r="T307" t="s">
        <v>38</v>
      </c>
      <c r="U307" t="s">
        <v>55</v>
      </c>
      <c r="V307">
        <v>12.97</v>
      </c>
      <c r="W307">
        <v>77.59</v>
      </c>
      <c r="X307">
        <v>6180</v>
      </c>
      <c r="Y307">
        <v>9666</v>
      </c>
      <c r="Z307">
        <v>5475</v>
      </c>
      <c r="AA307">
        <v>9433</v>
      </c>
      <c r="AB307" t="s">
        <v>79</v>
      </c>
    </row>
    <row r="308" spans="1:28" x14ac:dyDescent="0.3">
      <c r="A308">
        <v>1306</v>
      </c>
      <c r="B308" t="s">
        <v>65</v>
      </c>
      <c r="C308" t="s">
        <v>29</v>
      </c>
      <c r="D308" t="s">
        <v>66</v>
      </c>
      <c r="E308" t="s">
        <v>67</v>
      </c>
      <c r="F308" t="s">
        <v>32</v>
      </c>
      <c r="G308" s="1">
        <v>46078</v>
      </c>
      <c r="H308" t="s">
        <v>33</v>
      </c>
      <c r="I308" t="s">
        <v>80</v>
      </c>
      <c r="J308" t="s">
        <v>82</v>
      </c>
      <c r="K308" t="s">
        <v>59</v>
      </c>
      <c r="L308">
        <v>39</v>
      </c>
      <c r="M308">
        <v>15132</v>
      </c>
      <c r="N308">
        <v>11314.02</v>
      </c>
      <c r="O308">
        <v>3817.98</v>
      </c>
      <c r="P308">
        <v>204</v>
      </c>
      <c r="Q308">
        <v>4.3</v>
      </c>
      <c r="R308">
        <v>5</v>
      </c>
      <c r="S308" t="s">
        <v>37</v>
      </c>
      <c r="T308" t="s">
        <v>49</v>
      </c>
      <c r="U308" t="s">
        <v>55</v>
      </c>
      <c r="V308">
        <v>9.93</v>
      </c>
      <c r="W308">
        <v>76.260000000000005</v>
      </c>
      <c r="X308">
        <v>11773</v>
      </c>
      <c r="Y308">
        <v>15228</v>
      </c>
      <c r="Z308">
        <v>10630</v>
      </c>
      <c r="AA308">
        <v>13163</v>
      </c>
      <c r="AB308" t="s">
        <v>79</v>
      </c>
    </row>
    <row r="309" spans="1:28" x14ac:dyDescent="0.3">
      <c r="A309">
        <v>1307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s="1">
        <v>46193</v>
      </c>
      <c r="H309" t="s">
        <v>68</v>
      </c>
      <c r="I309" t="s">
        <v>80</v>
      </c>
      <c r="J309" t="s">
        <v>82</v>
      </c>
      <c r="K309" t="s">
        <v>59</v>
      </c>
      <c r="L309">
        <v>51</v>
      </c>
      <c r="M309">
        <v>18156</v>
      </c>
      <c r="N309">
        <v>12669.32</v>
      </c>
      <c r="O309">
        <v>5486.68</v>
      </c>
      <c r="P309">
        <v>73</v>
      </c>
      <c r="Q309">
        <v>3.6</v>
      </c>
      <c r="R309">
        <v>0</v>
      </c>
      <c r="S309" t="s">
        <v>64</v>
      </c>
      <c r="T309" t="s">
        <v>49</v>
      </c>
      <c r="U309" t="s">
        <v>55</v>
      </c>
      <c r="V309">
        <v>12.97</v>
      </c>
      <c r="W309">
        <v>77.59</v>
      </c>
      <c r="X309">
        <v>13473</v>
      </c>
      <c r="Y309">
        <v>16998</v>
      </c>
      <c r="Z309">
        <v>12020</v>
      </c>
      <c r="AA309">
        <v>13493</v>
      </c>
      <c r="AB309" t="s">
        <v>79</v>
      </c>
    </row>
    <row r="310" spans="1:28" x14ac:dyDescent="0.3">
      <c r="A310">
        <v>1308</v>
      </c>
      <c r="B310" t="s">
        <v>41</v>
      </c>
      <c r="C310" t="s">
        <v>29</v>
      </c>
      <c r="D310" t="s">
        <v>42</v>
      </c>
      <c r="E310" t="s">
        <v>43</v>
      </c>
      <c r="F310" t="s">
        <v>44</v>
      </c>
      <c r="G310" s="1">
        <v>46124</v>
      </c>
      <c r="H310" t="s">
        <v>75</v>
      </c>
      <c r="I310" t="s">
        <v>57</v>
      </c>
      <c r="J310" t="s">
        <v>58</v>
      </c>
      <c r="K310" t="s">
        <v>78</v>
      </c>
      <c r="L310">
        <v>26</v>
      </c>
      <c r="M310">
        <v>9854</v>
      </c>
      <c r="N310">
        <v>5730.8</v>
      </c>
      <c r="O310">
        <v>4123.2</v>
      </c>
      <c r="P310">
        <v>275</v>
      </c>
      <c r="Q310">
        <v>3.7</v>
      </c>
      <c r="R310">
        <v>5</v>
      </c>
      <c r="S310" t="s">
        <v>48</v>
      </c>
      <c r="T310" t="s">
        <v>49</v>
      </c>
      <c r="U310" t="s">
        <v>55</v>
      </c>
      <c r="V310">
        <v>28.61</v>
      </c>
      <c r="W310">
        <v>77.2</v>
      </c>
      <c r="X310">
        <v>5926</v>
      </c>
      <c r="Y310">
        <v>8536</v>
      </c>
      <c r="Z310">
        <v>4637</v>
      </c>
      <c r="AA310">
        <v>7320</v>
      </c>
      <c r="AB310" t="s">
        <v>79</v>
      </c>
    </row>
    <row r="311" spans="1:28" x14ac:dyDescent="0.3">
      <c r="A311">
        <v>1309</v>
      </c>
      <c r="B311" t="s">
        <v>65</v>
      </c>
      <c r="C311" t="s">
        <v>29</v>
      </c>
      <c r="D311" t="s">
        <v>66</v>
      </c>
      <c r="E311" t="s">
        <v>67</v>
      </c>
      <c r="F311" t="s">
        <v>32</v>
      </c>
      <c r="G311" s="1">
        <v>46119</v>
      </c>
      <c r="H311" t="s">
        <v>75</v>
      </c>
      <c r="I311" t="s">
        <v>57</v>
      </c>
      <c r="J311" t="s">
        <v>58</v>
      </c>
      <c r="K311" t="s">
        <v>36</v>
      </c>
      <c r="L311">
        <v>46</v>
      </c>
      <c r="M311">
        <v>12788</v>
      </c>
      <c r="N311">
        <v>8516.59</v>
      </c>
      <c r="O311">
        <v>4271.41</v>
      </c>
      <c r="P311">
        <v>278</v>
      </c>
      <c r="Q311">
        <v>4.0999999999999996</v>
      </c>
      <c r="R311">
        <v>5</v>
      </c>
      <c r="S311" t="s">
        <v>64</v>
      </c>
      <c r="T311" t="s">
        <v>49</v>
      </c>
      <c r="U311" t="s">
        <v>74</v>
      </c>
      <c r="V311">
        <v>9.93</v>
      </c>
      <c r="W311">
        <v>76.260000000000005</v>
      </c>
      <c r="X311">
        <v>11989</v>
      </c>
      <c r="Y311">
        <v>13540</v>
      </c>
      <c r="Z311">
        <v>10975</v>
      </c>
      <c r="AA311">
        <v>13525</v>
      </c>
      <c r="AB311" t="s">
        <v>40</v>
      </c>
    </row>
    <row r="312" spans="1:28" x14ac:dyDescent="0.3">
      <c r="A312">
        <v>1310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s="1">
        <v>46130</v>
      </c>
      <c r="H312" t="s">
        <v>75</v>
      </c>
      <c r="I312" t="s">
        <v>57</v>
      </c>
      <c r="J312" t="s">
        <v>83</v>
      </c>
      <c r="K312" t="s">
        <v>78</v>
      </c>
      <c r="L312">
        <v>34</v>
      </c>
      <c r="M312">
        <v>10438</v>
      </c>
      <c r="N312">
        <v>7126.06</v>
      </c>
      <c r="O312">
        <v>3311.94</v>
      </c>
      <c r="P312">
        <v>52</v>
      </c>
      <c r="Q312">
        <v>3.7</v>
      </c>
      <c r="R312">
        <v>15</v>
      </c>
      <c r="S312" t="s">
        <v>48</v>
      </c>
      <c r="T312" t="s">
        <v>38</v>
      </c>
      <c r="U312" t="s">
        <v>74</v>
      </c>
      <c r="V312">
        <v>12.97</v>
      </c>
      <c r="W312">
        <v>77.59</v>
      </c>
      <c r="X312">
        <v>8056</v>
      </c>
      <c r="Y312">
        <v>12930</v>
      </c>
      <c r="Z312">
        <v>7352</v>
      </c>
      <c r="AA312">
        <v>12043</v>
      </c>
      <c r="AB312" t="s">
        <v>63</v>
      </c>
    </row>
    <row r="313" spans="1:28" x14ac:dyDescent="0.3">
      <c r="A313">
        <v>1311</v>
      </c>
      <c r="B313" t="s">
        <v>50</v>
      </c>
      <c r="C313" t="s">
        <v>29</v>
      </c>
      <c r="D313" t="s">
        <v>51</v>
      </c>
      <c r="E313" t="s">
        <v>52</v>
      </c>
      <c r="F313" t="s">
        <v>53</v>
      </c>
      <c r="G313" s="1">
        <v>46094</v>
      </c>
      <c r="H313" t="s">
        <v>71</v>
      </c>
      <c r="I313" t="s">
        <v>69</v>
      </c>
      <c r="J313" t="s">
        <v>70</v>
      </c>
      <c r="K313" t="s">
        <v>59</v>
      </c>
      <c r="L313">
        <v>19</v>
      </c>
      <c r="M313">
        <v>3667</v>
      </c>
      <c r="N313">
        <v>2554.77</v>
      </c>
      <c r="O313">
        <v>1112.23</v>
      </c>
      <c r="P313">
        <v>69</v>
      </c>
      <c r="Q313">
        <v>4</v>
      </c>
      <c r="R313">
        <v>0</v>
      </c>
      <c r="S313" t="s">
        <v>37</v>
      </c>
      <c r="T313" t="s">
        <v>49</v>
      </c>
      <c r="U313" t="s">
        <v>74</v>
      </c>
      <c r="V313">
        <v>19.07</v>
      </c>
      <c r="W313">
        <v>72.87</v>
      </c>
      <c r="X313">
        <v>10685</v>
      </c>
      <c r="Y313">
        <v>13941</v>
      </c>
      <c r="Z313">
        <v>8872</v>
      </c>
      <c r="AA313">
        <v>10164</v>
      </c>
      <c r="AB313" t="s">
        <v>79</v>
      </c>
    </row>
    <row r="314" spans="1:28" x14ac:dyDescent="0.3">
      <c r="A314">
        <v>1312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s="1">
        <v>46045</v>
      </c>
      <c r="H314" t="s">
        <v>45</v>
      </c>
      <c r="I314" t="s">
        <v>57</v>
      </c>
      <c r="J314" t="s">
        <v>83</v>
      </c>
      <c r="K314" t="s">
        <v>59</v>
      </c>
      <c r="L314">
        <v>19</v>
      </c>
      <c r="M314">
        <v>5833</v>
      </c>
      <c r="N314">
        <v>3728.11</v>
      </c>
      <c r="O314">
        <v>2104.89</v>
      </c>
      <c r="P314">
        <v>100</v>
      </c>
      <c r="Q314">
        <v>3.9</v>
      </c>
      <c r="R314">
        <v>15</v>
      </c>
      <c r="S314" t="s">
        <v>48</v>
      </c>
      <c r="T314" t="s">
        <v>38</v>
      </c>
      <c r="U314" t="s">
        <v>39</v>
      </c>
      <c r="V314">
        <v>12.97</v>
      </c>
      <c r="W314">
        <v>77.59</v>
      </c>
      <c r="X314">
        <v>8300</v>
      </c>
      <c r="Y314">
        <v>10485</v>
      </c>
      <c r="Z314">
        <v>7520</v>
      </c>
      <c r="AA314">
        <v>9146</v>
      </c>
      <c r="AB314" t="s">
        <v>40</v>
      </c>
    </row>
    <row r="315" spans="1:28" x14ac:dyDescent="0.3">
      <c r="A315">
        <v>1313</v>
      </c>
      <c r="B315" t="s">
        <v>41</v>
      </c>
      <c r="C315" t="s">
        <v>29</v>
      </c>
      <c r="D315" t="s">
        <v>42</v>
      </c>
      <c r="E315" t="s">
        <v>43</v>
      </c>
      <c r="F315" t="s">
        <v>44</v>
      </c>
      <c r="G315" s="1">
        <v>46112</v>
      </c>
      <c r="H315" t="s">
        <v>71</v>
      </c>
      <c r="I315" t="s">
        <v>69</v>
      </c>
      <c r="J315" t="s">
        <v>72</v>
      </c>
      <c r="K315" t="s">
        <v>73</v>
      </c>
      <c r="L315">
        <v>46</v>
      </c>
      <c r="M315">
        <v>13248</v>
      </c>
      <c r="N315">
        <v>9618.06</v>
      </c>
      <c r="O315">
        <v>3629.94</v>
      </c>
      <c r="P315">
        <v>96</v>
      </c>
      <c r="Q315">
        <v>4.3</v>
      </c>
      <c r="R315">
        <v>15</v>
      </c>
      <c r="S315" t="s">
        <v>37</v>
      </c>
      <c r="T315" t="s">
        <v>76</v>
      </c>
      <c r="U315" t="s">
        <v>39</v>
      </c>
      <c r="V315">
        <v>28.61</v>
      </c>
      <c r="W315">
        <v>77.2</v>
      </c>
      <c r="X315">
        <v>11912</v>
      </c>
      <c r="Y315">
        <v>16532</v>
      </c>
      <c r="Z315">
        <v>11256</v>
      </c>
      <c r="AA315">
        <v>16378</v>
      </c>
      <c r="AB315" t="s">
        <v>63</v>
      </c>
    </row>
    <row r="316" spans="1:28" x14ac:dyDescent="0.3">
      <c r="A316">
        <v>1314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s="1">
        <v>46043</v>
      </c>
      <c r="H316" t="s">
        <v>45</v>
      </c>
      <c r="I316" t="s">
        <v>34</v>
      </c>
      <c r="J316" t="s">
        <v>46</v>
      </c>
      <c r="K316" t="s">
        <v>78</v>
      </c>
      <c r="L316">
        <v>60</v>
      </c>
      <c r="M316">
        <v>15780</v>
      </c>
      <c r="N316">
        <v>12207.21</v>
      </c>
      <c r="O316">
        <v>3572.79</v>
      </c>
      <c r="P316">
        <v>265</v>
      </c>
      <c r="Q316">
        <v>4.7</v>
      </c>
      <c r="R316">
        <v>5</v>
      </c>
      <c r="S316" t="s">
        <v>37</v>
      </c>
      <c r="T316" t="s">
        <v>38</v>
      </c>
      <c r="U316" t="s">
        <v>74</v>
      </c>
      <c r="V316">
        <v>12.97</v>
      </c>
      <c r="W316">
        <v>77.59</v>
      </c>
      <c r="X316">
        <v>7831</v>
      </c>
      <c r="Y316">
        <v>12728</v>
      </c>
      <c r="Z316">
        <v>6574</v>
      </c>
      <c r="AA316">
        <v>9061</v>
      </c>
      <c r="AB316" t="s">
        <v>63</v>
      </c>
    </row>
    <row r="317" spans="1:28" x14ac:dyDescent="0.3">
      <c r="A317">
        <v>1315</v>
      </c>
      <c r="B317" t="s">
        <v>65</v>
      </c>
      <c r="C317" t="s">
        <v>29</v>
      </c>
      <c r="D317" t="s">
        <v>66</v>
      </c>
      <c r="E317" t="s">
        <v>67</v>
      </c>
      <c r="F317" t="s">
        <v>32</v>
      </c>
      <c r="G317" s="1">
        <v>46023</v>
      </c>
      <c r="H317" t="s">
        <v>45</v>
      </c>
      <c r="I317" t="s">
        <v>80</v>
      </c>
      <c r="J317" t="s">
        <v>82</v>
      </c>
      <c r="K317" t="s">
        <v>47</v>
      </c>
      <c r="L317">
        <v>30</v>
      </c>
      <c r="M317">
        <v>11460</v>
      </c>
      <c r="N317">
        <v>8840.0300000000007</v>
      </c>
      <c r="O317">
        <v>2619.9699999999998</v>
      </c>
      <c r="P317">
        <v>137</v>
      </c>
      <c r="Q317">
        <v>3.7</v>
      </c>
      <c r="R317">
        <v>15</v>
      </c>
      <c r="S317" t="s">
        <v>48</v>
      </c>
      <c r="T317" t="s">
        <v>49</v>
      </c>
      <c r="U317" t="s">
        <v>55</v>
      </c>
      <c r="V317">
        <v>9.93</v>
      </c>
      <c r="W317">
        <v>76.260000000000005</v>
      </c>
      <c r="X317">
        <v>10836</v>
      </c>
      <c r="Y317">
        <v>15572</v>
      </c>
      <c r="Z317">
        <v>9017</v>
      </c>
      <c r="AA317">
        <v>12467</v>
      </c>
      <c r="AB317" t="s">
        <v>40</v>
      </c>
    </row>
    <row r="318" spans="1:28" x14ac:dyDescent="0.3">
      <c r="A318">
        <v>1316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s="1">
        <v>46133</v>
      </c>
      <c r="H318" t="s">
        <v>75</v>
      </c>
      <c r="I318" t="s">
        <v>34</v>
      </c>
      <c r="J318" t="s">
        <v>46</v>
      </c>
      <c r="K318" t="s">
        <v>36</v>
      </c>
      <c r="L318">
        <v>49</v>
      </c>
      <c r="M318">
        <v>17591</v>
      </c>
      <c r="N318">
        <v>13432.07</v>
      </c>
      <c r="O318">
        <v>4158.93</v>
      </c>
      <c r="P318">
        <v>145</v>
      </c>
      <c r="Q318">
        <v>4</v>
      </c>
      <c r="R318">
        <v>15</v>
      </c>
      <c r="S318" t="s">
        <v>64</v>
      </c>
      <c r="T318" t="s">
        <v>76</v>
      </c>
      <c r="U318" t="s">
        <v>39</v>
      </c>
      <c r="V318">
        <v>12.97</v>
      </c>
      <c r="W318">
        <v>77.59</v>
      </c>
      <c r="X318">
        <v>13580</v>
      </c>
      <c r="Y318">
        <v>17355</v>
      </c>
      <c r="Z318">
        <v>12052</v>
      </c>
      <c r="AA318">
        <v>15755</v>
      </c>
      <c r="AB318" t="s">
        <v>56</v>
      </c>
    </row>
    <row r="319" spans="1:28" x14ac:dyDescent="0.3">
      <c r="A319">
        <v>1317</v>
      </c>
      <c r="B319" t="s">
        <v>50</v>
      </c>
      <c r="C319" t="s">
        <v>29</v>
      </c>
      <c r="D319" t="s">
        <v>51</v>
      </c>
      <c r="E319" t="s">
        <v>52</v>
      </c>
      <c r="F319" t="s">
        <v>53</v>
      </c>
      <c r="G319" s="1">
        <v>46141</v>
      </c>
      <c r="H319" t="s">
        <v>75</v>
      </c>
      <c r="I319" t="s">
        <v>34</v>
      </c>
      <c r="J319" t="s">
        <v>46</v>
      </c>
      <c r="K319" t="s">
        <v>59</v>
      </c>
      <c r="L319">
        <v>24</v>
      </c>
      <c r="M319">
        <v>7800</v>
      </c>
      <c r="N319">
        <v>5677.12</v>
      </c>
      <c r="O319">
        <v>2122.88</v>
      </c>
      <c r="P319">
        <v>61</v>
      </c>
      <c r="Q319">
        <v>4.0999999999999996</v>
      </c>
      <c r="R319">
        <v>10</v>
      </c>
      <c r="S319" t="s">
        <v>48</v>
      </c>
      <c r="T319" t="s">
        <v>38</v>
      </c>
      <c r="U319" t="s">
        <v>39</v>
      </c>
      <c r="V319">
        <v>19.07</v>
      </c>
      <c r="W319">
        <v>72.87</v>
      </c>
      <c r="X319">
        <v>12549</v>
      </c>
      <c r="Y319">
        <v>14893</v>
      </c>
      <c r="Z319">
        <v>11776</v>
      </c>
      <c r="AA319">
        <v>13355</v>
      </c>
      <c r="AB319" t="s">
        <v>79</v>
      </c>
    </row>
    <row r="320" spans="1:28" x14ac:dyDescent="0.3">
      <c r="A320">
        <v>1318</v>
      </c>
      <c r="B320" t="s">
        <v>41</v>
      </c>
      <c r="C320" t="s">
        <v>29</v>
      </c>
      <c r="D320" t="s">
        <v>42</v>
      </c>
      <c r="E320" t="s">
        <v>43</v>
      </c>
      <c r="F320" t="s">
        <v>44</v>
      </c>
      <c r="G320" s="1">
        <v>46160</v>
      </c>
      <c r="H320" t="s">
        <v>54</v>
      </c>
      <c r="I320" t="s">
        <v>80</v>
      </c>
      <c r="J320" t="s">
        <v>82</v>
      </c>
      <c r="K320" t="s">
        <v>59</v>
      </c>
      <c r="L320">
        <v>25</v>
      </c>
      <c r="M320">
        <v>7750</v>
      </c>
      <c r="N320">
        <v>5306.71</v>
      </c>
      <c r="O320">
        <v>2443.29</v>
      </c>
      <c r="P320">
        <v>100</v>
      </c>
      <c r="Q320">
        <v>5</v>
      </c>
      <c r="R320">
        <v>0</v>
      </c>
      <c r="S320" t="s">
        <v>37</v>
      </c>
      <c r="T320" t="s">
        <v>76</v>
      </c>
      <c r="U320" t="s">
        <v>74</v>
      </c>
      <c r="V320">
        <v>28.61</v>
      </c>
      <c r="W320">
        <v>77.2</v>
      </c>
      <c r="X320">
        <v>12994</v>
      </c>
      <c r="Y320">
        <v>16463</v>
      </c>
      <c r="Z320">
        <v>12226</v>
      </c>
      <c r="AA320">
        <v>13454</v>
      </c>
      <c r="AB320" t="s">
        <v>56</v>
      </c>
    </row>
    <row r="321" spans="1:28" x14ac:dyDescent="0.3">
      <c r="A321">
        <v>1319</v>
      </c>
      <c r="B321" t="s">
        <v>50</v>
      </c>
      <c r="C321" t="s">
        <v>29</v>
      </c>
      <c r="D321" t="s">
        <v>51</v>
      </c>
      <c r="E321" t="s">
        <v>52</v>
      </c>
      <c r="F321" t="s">
        <v>53</v>
      </c>
      <c r="G321" s="1">
        <v>46051</v>
      </c>
      <c r="H321" t="s">
        <v>45</v>
      </c>
      <c r="I321" t="s">
        <v>34</v>
      </c>
      <c r="J321" t="s">
        <v>77</v>
      </c>
      <c r="K321" t="s">
        <v>36</v>
      </c>
      <c r="L321">
        <v>45</v>
      </c>
      <c r="M321">
        <v>16560</v>
      </c>
      <c r="N321">
        <v>10244.06</v>
      </c>
      <c r="O321">
        <v>6315.94</v>
      </c>
      <c r="P321">
        <v>297</v>
      </c>
      <c r="Q321">
        <v>4.8</v>
      </c>
      <c r="R321">
        <v>10</v>
      </c>
      <c r="S321" t="s">
        <v>48</v>
      </c>
      <c r="T321" t="s">
        <v>76</v>
      </c>
      <c r="U321" t="s">
        <v>74</v>
      </c>
      <c r="V321">
        <v>19.07</v>
      </c>
      <c r="W321">
        <v>72.87</v>
      </c>
      <c r="X321">
        <v>7361</v>
      </c>
      <c r="Y321">
        <v>8526</v>
      </c>
      <c r="Z321">
        <v>6753</v>
      </c>
      <c r="AA321">
        <v>8164</v>
      </c>
      <c r="AB321" t="s">
        <v>40</v>
      </c>
    </row>
    <row r="322" spans="1:28" x14ac:dyDescent="0.3">
      <c r="A322">
        <v>1320</v>
      </c>
      <c r="B322" t="s">
        <v>65</v>
      </c>
      <c r="C322" t="s">
        <v>29</v>
      </c>
      <c r="D322" t="s">
        <v>66</v>
      </c>
      <c r="E322" t="s">
        <v>67</v>
      </c>
      <c r="F322" t="s">
        <v>32</v>
      </c>
      <c r="G322" s="1">
        <v>46063</v>
      </c>
      <c r="H322" t="s">
        <v>33</v>
      </c>
      <c r="I322" t="s">
        <v>80</v>
      </c>
      <c r="J322" t="s">
        <v>82</v>
      </c>
      <c r="K322" t="s">
        <v>78</v>
      </c>
      <c r="L322">
        <v>14</v>
      </c>
      <c r="M322">
        <v>5740</v>
      </c>
      <c r="N322">
        <v>3662.7</v>
      </c>
      <c r="O322">
        <v>2077.3000000000002</v>
      </c>
      <c r="P322">
        <v>101</v>
      </c>
      <c r="Q322">
        <v>4</v>
      </c>
      <c r="R322">
        <v>5</v>
      </c>
      <c r="S322" t="s">
        <v>48</v>
      </c>
      <c r="T322" t="s">
        <v>49</v>
      </c>
      <c r="U322" t="s">
        <v>74</v>
      </c>
      <c r="V322">
        <v>9.93</v>
      </c>
      <c r="W322">
        <v>76.260000000000005</v>
      </c>
      <c r="X322">
        <v>7414</v>
      </c>
      <c r="Y322">
        <v>9389</v>
      </c>
      <c r="Z322">
        <v>6518</v>
      </c>
      <c r="AA322">
        <v>7400</v>
      </c>
      <c r="AB322" t="s">
        <v>40</v>
      </c>
    </row>
    <row r="323" spans="1:28" x14ac:dyDescent="0.3">
      <c r="A323">
        <v>1321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s="1">
        <v>46156</v>
      </c>
      <c r="H323" t="s">
        <v>54</v>
      </c>
      <c r="I323" t="s">
        <v>57</v>
      </c>
      <c r="J323" t="s">
        <v>83</v>
      </c>
      <c r="K323" t="s">
        <v>47</v>
      </c>
      <c r="L323">
        <v>49</v>
      </c>
      <c r="M323">
        <v>9065</v>
      </c>
      <c r="N323">
        <v>6761.03</v>
      </c>
      <c r="O323">
        <v>2303.9699999999998</v>
      </c>
      <c r="P323">
        <v>180</v>
      </c>
      <c r="Q323">
        <v>4.7</v>
      </c>
      <c r="R323">
        <v>15</v>
      </c>
      <c r="S323" t="s">
        <v>48</v>
      </c>
      <c r="T323" t="s">
        <v>38</v>
      </c>
      <c r="U323" t="s">
        <v>74</v>
      </c>
      <c r="V323">
        <v>12.97</v>
      </c>
      <c r="W323">
        <v>77.59</v>
      </c>
      <c r="X323">
        <v>10322</v>
      </c>
      <c r="Y323">
        <v>14271</v>
      </c>
      <c r="Z323">
        <v>9330</v>
      </c>
      <c r="AA323">
        <v>12221</v>
      </c>
      <c r="AB323" t="s">
        <v>40</v>
      </c>
    </row>
    <row r="324" spans="1:28" x14ac:dyDescent="0.3">
      <c r="A324">
        <v>1322</v>
      </c>
      <c r="B324" t="s">
        <v>60</v>
      </c>
      <c r="C324" t="s">
        <v>29</v>
      </c>
      <c r="D324" t="s">
        <v>61</v>
      </c>
      <c r="E324" t="s">
        <v>62</v>
      </c>
      <c r="F324" t="s">
        <v>32</v>
      </c>
      <c r="G324" s="1">
        <v>46036</v>
      </c>
      <c r="H324" t="s">
        <v>45</v>
      </c>
      <c r="I324" t="s">
        <v>80</v>
      </c>
      <c r="J324" t="s">
        <v>81</v>
      </c>
      <c r="K324" t="s">
        <v>36</v>
      </c>
      <c r="L324">
        <v>53</v>
      </c>
      <c r="M324">
        <v>17119</v>
      </c>
      <c r="N324">
        <v>9957.9699999999993</v>
      </c>
      <c r="O324">
        <v>7161.03</v>
      </c>
      <c r="P324">
        <v>236</v>
      </c>
      <c r="Q324">
        <v>4.5</v>
      </c>
      <c r="R324">
        <v>0</v>
      </c>
      <c r="S324" t="s">
        <v>37</v>
      </c>
      <c r="T324" t="s">
        <v>49</v>
      </c>
      <c r="U324" t="s">
        <v>74</v>
      </c>
      <c r="V324">
        <v>13.08</v>
      </c>
      <c r="W324">
        <v>80.27</v>
      </c>
      <c r="X324">
        <v>9973</v>
      </c>
      <c r="Y324">
        <v>12075</v>
      </c>
      <c r="Z324">
        <v>8134</v>
      </c>
      <c r="AA324">
        <v>10957</v>
      </c>
      <c r="AB324" t="s">
        <v>56</v>
      </c>
    </row>
    <row r="325" spans="1:28" x14ac:dyDescent="0.3">
      <c r="A325">
        <v>1323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s="1">
        <v>46197</v>
      </c>
      <c r="H325" t="s">
        <v>68</v>
      </c>
      <c r="I325" t="s">
        <v>80</v>
      </c>
      <c r="J325" t="s">
        <v>81</v>
      </c>
      <c r="K325" t="s">
        <v>73</v>
      </c>
      <c r="L325">
        <v>52</v>
      </c>
      <c r="M325">
        <v>14352</v>
      </c>
      <c r="N325">
        <v>10708.31</v>
      </c>
      <c r="O325">
        <v>3643.69</v>
      </c>
      <c r="P325">
        <v>239</v>
      </c>
      <c r="Q325">
        <v>4.3</v>
      </c>
      <c r="R325">
        <v>5</v>
      </c>
      <c r="S325" t="s">
        <v>48</v>
      </c>
      <c r="T325" t="s">
        <v>76</v>
      </c>
      <c r="U325" t="s">
        <v>55</v>
      </c>
      <c r="V325">
        <v>12.97</v>
      </c>
      <c r="W325">
        <v>77.59</v>
      </c>
      <c r="X325">
        <v>12019</v>
      </c>
      <c r="Y325">
        <v>15247</v>
      </c>
      <c r="Z325">
        <v>11198</v>
      </c>
      <c r="AA325">
        <v>14522</v>
      </c>
      <c r="AB325" t="s">
        <v>79</v>
      </c>
    </row>
    <row r="326" spans="1:28" x14ac:dyDescent="0.3">
      <c r="A326">
        <v>1324</v>
      </c>
      <c r="B326" t="s">
        <v>65</v>
      </c>
      <c r="C326" t="s">
        <v>29</v>
      </c>
      <c r="D326" t="s">
        <v>66</v>
      </c>
      <c r="E326" t="s">
        <v>67</v>
      </c>
      <c r="F326" t="s">
        <v>32</v>
      </c>
      <c r="G326" s="1">
        <v>46184</v>
      </c>
      <c r="H326" t="s">
        <v>68</v>
      </c>
      <c r="I326" t="s">
        <v>34</v>
      </c>
      <c r="J326" t="s">
        <v>77</v>
      </c>
      <c r="K326" t="s">
        <v>36</v>
      </c>
      <c r="L326">
        <v>52</v>
      </c>
      <c r="M326">
        <v>10296</v>
      </c>
      <c r="N326">
        <v>6811.19</v>
      </c>
      <c r="O326">
        <v>3484.81</v>
      </c>
      <c r="P326">
        <v>255</v>
      </c>
      <c r="Q326">
        <v>4.8</v>
      </c>
      <c r="R326">
        <v>5</v>
      </c>
      <c r="S326" t="s">
        <v>37</v>
      </c>
      <c r="T326" t="s">
        <v>38</v>
      </c>
      <c r="U326" t="s">
        <v>74</v>
      </c>
      <c r="V326">
        <v>9.93</v>
      </c>
      <c r="W326">
        <v>76.260000000000005</v>
      </c>
      <c r="X326">
        <v>13852</v>
      </c>
      <c r="Y326">
        <v>17089</v>
      </c>
      <c r="Z326">
        <v>12873</v>
      </c>
      <c r="AA326">
        <v>14247</v>
      </c>
      <c r="AB326" t="s">
        <v>79</v>
      </c>
    </row>
    <row r="327" spans="1:28" x14ac:dyDescent="0.3">
      <c r="A327">
        <v>1325</v>
      </c>
      <c r="B327" t="s">
        <v>65</v>
      </c>
      <c r="C327" t="s">
        <v>29</v>
      </c>
      <c r="D327" t="s">
        <v>66</v>
      </c>
      <c r="E327" t="s">
        <v>67</v>
      </c>
      <c r="F327" t="s">
        <v>32</v>
      </c>
      <c r="G327" s="1">
        <v>46100</v>
      </c>
      <c r="H327" t="s">
        <v>71</v>
      </c>
      <c r="I327" t="s">
        <v>80</v>
      </c>
      <c r="J327" t="s">
        <v>82</v>
      </c>
      <c r="K327" t="s">
        <v>73</v>
      </c>
      <c r="L327">
        <v>51</v>
      </c>
      <c r="M327">
        <v>10863</v>
      </c>
      <c r="N327">
        <v>7314.66</v>
      </c>
      <c r="O327">
        <v>3548.34</v>
      </c>
      <c r="P327">
        <v>115</v>
      </c>
      <c r="Q327">
        <v>3.5</v>
      </c>
      <c r="R327">
        <v>5</v>
      </c>
      <c r="S327" t="s">
        <v>37</v>
      </c>
      <c r="T327" t="s">
        <v>38</v>
      </c>
      <c r="U327" t="s">
        <v>55</v>
      </c>
      <c r="V327">
        <v>9.93</v>
      </c>
      <c r="W327">
        <v>76.260000000000005</v>
      </c>
      <c r="X327">
        <v>10221</v>
      </c>
      <c r="Y327">
        <v>12604</v>
      </c>
      <c r="Z327">
        <v>9542</v>
      </c>
      <c r="AA327">
        <v>12570</v>
      </c>
      <c r="AB327" t="s">
        <v>63</v>
      </c>
    </row>
    <row r="328" spans="1:28" x14ac:dyDescent="0.3">
      <c r="A328">
        <v>1326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s="1">
        <v>46201</v>
      </c>
      <c r="H328" t="s">
        <v>68</v>
      </c>
      <c r="I328" t="s">
        <v>80</v>
      </c>
      <c r="J328" t="s">
        <v>82</v>
      </c>
      <c r="K328" t="s">
        <v>59</v>
      </c>
      <c r="L328">
        <v>24</v>
      </c>
      <c r="M328">
        <v>8904</v>
      </c>
      <c r="N328">
        <v>6082.62</v>
      </c>
      <c r="O328">
        <v>2821.38</v>
      </c>
      <c r="P328">
        <v>198</v>
      </c>
      <c r="Q328">
        <v>4</v>
      </c>
      <c r="R328">
        <v>0</v>
      </c>
      <c r="S328" t="s">
        <v>37</v>
      </c>
      <c r="T328" t="s">
        <v>76</v>
      </c>
      <c r="U328" t="s">
        <v>55</v>
      </c>
      <c r="V328">
        <v>12.97</v>
      </c>
      <c r="W328">
        <v>77.59</v>
      </c>
      <c r="X328">
        <v>10721</v>
      </c>
      <c r="Y328">
        <v>12315</v>
      </c>
      <c r="Z328">
        <v>9550</v>
      </c>
      <c r="AA328">
        <v>11642</v>
      </c>
      <c r="AB328" t="s">
        <v>56</v>
      </c>
    </row>
    <row r="329" spans="1:28" x14ac:dyDescent="0.3">
      <c r="A329">
        <v>1327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s="1">
        <v>46090</v>
      </c>
      <c r="H329" t="s">
        <v>71</v>
      </c>
      <c r="I329" t="s">
        <v>34</v>
      </c>
      <c r="J329" t="s">
        <v>35</v>
      </c>
      <c r="K329" t="s">
        <v>78</v>
      </c>
      <c r="L329">
        <v>6</v>
      </c>
      <c r="M329">
        <v>2136</v>
      </c>
      <c r="N329">
        <v>1307.32</v>
      </c>
      <c r="O329">
        <v>828.68</v>
      </c>
      <c r="P329">
        <v>273</v>
      </c>
      <c r="Q329">
        <v>4.3</v>
      </c>
      <c r="R329">
        <v>0</v>
      </c>
      <c r="S329" t="s">
        <v>37</v>
      </c>
      <c r="T329" t="s">
        <v>49</v>
      </c>
      <c r="U329" t="s">
        <v>39</v>
      </c>
      <c r="V329">
        <v>12.97</v>
      </c>
      <c r="W329">
        <v>77.59</v>
      </c>
      <c r="X329">
        <v>9967</v>
      </c>
      <c r="Y329">
        <v>12651</v>
      </c>
      <c r="Z329">
        <v>8637</v>
      </c>
      <c r="AA329">
        <v>12368</v>
      </c>
      <c r="AB329" t="s">
        <v>79</v>
      </c>
    </row>
    <row r="330" spans="1:28" x14ac:dyDescent="0.3">
      <c r="A330">
        <v>1328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s="1">
        <v>46027</v>
      </c>
      <c r="H330" t="s">
        <v>45</v>
      </c>
      <c r="I330" t="s">
        <v>80</v>
      </c>
      <c r="J330" t="s">
        <v>82</v>
      </c>
      <c r="K330" t="s">
        <v>59</v>
      </c>
      <c r="L330">
        <v>30</v>
      </c>
      <c r="M330">
        <v>10410</v>
      </c>
      <c r="N330">
        <v>7226.53</v>
      </c>
      <c r="O330">
        <v>3183.47</v>
      </c>
      <c r="P330">
        <v>144</v>
      </c>
      <c r="Q330">
        <v>4.9000000000000004</v>
      </c>
      <c r="R330">
        <v>10</v>
      </c>
      <c r="S330" t="s">
        <v>48</v>
      </c>
      <c r="T330" t="s">
        <v>49</v>
      </c>
      <c r="U330" t="s">
        <v>39</v>
      </c>
      <c r="V330">
        <v>12.97</v>
      </c>
      <c r="W330">
        <v>77.59</v>
      </c>
      <c r="X330">
        <v>6889</v>
      </c>
      <c r="Y330">
        <v>10006</v>
      </c>
      <c r="Z330">
        <v>6310</v>
      </c>
      <c r="AA330">
        <v>9270</v>
      </c>
      <c r="AB330" t="s">
        <v>63</v>
      </c>
    </row>
    <row r="331" spans="1:28" x14ac:dyDescent="0.3">
      <c r="A331">
        <v>1329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s="1">
        <v>46198</v>
      </c>
      <c r="H331" t="s">
        <v>68</v>
      </c>
      <c r="I331" t="s">
        <v>57</v>
      </c>
      <c r="J331" t="s">
        <v>83</v>
      </c>
      <c r="K331" t="s">
        <v>59</v>
      </c>
      <c r="L331">
        <v>57</v>
      </c>
      <c r="M331">
        <v>19437</v>
      </c>
      <c r="N331">
        <v>11477.01</v>
      </c>
      <c r="O331">
        <v>7959.99</v>
      </c>
      <c r="P331">
        <v>258</v>
      </c>
      <c r="Q331">
        <v>4.4000000000000004</v>
      </c>
      <c r="R331">
        <v>15</v>
      </c>
      <c r="S331" t="s">
        <v>64</v>
      </c>
      <c r="T331" t="s">
        <v>49</v>
      </c>
      <c r="U331" t="s">
        <v>39</v>
      </c>
      <c r="V331">
        <v>12.97</v>
      </c>
      <c r="W331">
        <v>77.59</v>
      </c>
      <c r="X331">
        <v>14996</v>
      </c>
      <c r="Y331">
        <v>19394</v>
      </c>
      <c r="Z331">
        <v>13758</v>
      </c>
      <c r="AA331">
        <v>14917</v>
      </c>
      <c r="AB331" t="s">
        <v>40</v>
      </c>
    </row>
    <row r="332" spans="1:28" x14ac:dyDescent="0.3">
      <c r="A332">
        <v>1330</v>
      </c>
      <c r="B332" t="s">
        <v>60</v>
      </c>
      <c r="C332" t="s">
        <v>29</v>
      </c>
      <c r="D332" t="s">
        <v>61</v>
      </c>
      <c r="E332" t="s">
        <v>62</v>
      </c>
      <c r="F332" t="s">
        <v>32</v>
      </c>
      <c r="G332" s="1">
        <v>46127</v>
      </c>
      <c r="H332" t="s">
        <v>75</v>
      </c>
      <c r="I332" t="s">
        <v>34</v>
      </c>
      <c r="J332" t="s">
        <v>35</v>
      </c>
      <c r="K332" t="s">
        <v>36</v>
      </c>
      <c r="L332">
        <v>51</v>
      </c>
      <c r="M332">
        <v>18411</v>
      </c>
      <c r="N332">
        <v>11622.87</v>
      </c>
      <c r="O332">
        <v>6788.13</v>
      </c>
      <c r="P332">
        <v>278</v>
      </c>
      <c r="Q332">
        <v>4.0999999999999996</v>
      </c>
      <c r="R332">
        <v>5</v>
      </c>
      <c r="S332" t="s">
        <v>48</v>
      </c>
      <c r="T332" t="s">
        <v>49</v>
      </c>
      <c r="U332" t="s">
        <v>39</v>
      </c>
      <c r="V332">
        <v>13.08</v>
      </c>
      <c r="W332">
        <v>80.27</v>
      </c>
      <c r="X332">
        <v>6377</v>
      </c>
      <c r="Y332">
        <v>10420</v>
      </c>
      <c r="Z332">
        <v>5740</v>
      </c>
      <c r="AA332">
        <v>5849</v>
      </c>
      <c r="AB332" t="s">
        <v>56</v>
      </c>
    </row>
    <row r="333" spans="1:28" x14ac:dyDescent="0.3">
      <c r="A333">
        <v>1331</v>
      </c>
      <c r="B333" t="s">
        <v>41</v>
      </c>
      <c r="C333" t="s">
        <v>29</v>
      </c>
      <c r="D333" t="s">
        <v>42</v>
      </c>
      <c r="E333" t="s">
        <v>43</v>
      </c>
      <c r="F333" t="s">
        <v>44</v>
      </c>
      <c r="G333" s="1">
        <v>46027</v>
      </c>
      <c r="H333" t="s">
        <v>45</v>
      </c>
      <c r="I333" t="s">
        <v>57</v>
      </c>
      <c r="J333" t="s">
        <v>58</v>
      </c>
      <c r="K333" t="s">
        <v>36</v>
      </c>
      <c r="L333">
        <v>58</v>
      </c>
      <c r="M333">
        <v>23606</v>
      </c>
      <c r="N333">
        <v>17040.25</v>
      </c>
      <c r="O333">
        <v>6565.75</v>
      </c>
      <c r="P333">
        <v>250</v>
      </c>
      <c r="Q333">
        <v>4.4000000000000004</v>
      </c>
      <c r="R333">
        <v>0</v>
      </c>
      <c r="S333" t="s">
        <v>48</v>
      </c>
      <c r="T333" t="s">
        <v>76</v>
      </c>
      <c r="U333" t="s">
        <v>39</v>
      </c>
      <c r="V333">
        <v>28.61</v>
      </c>
      <c r="W333">
        <v>77.2</v>
      </c>
      <c r="X333">
        <v>6876</v>
      </c>
      <c r="Y333">
        <v>11413</v>
      </c>
      <c r="Z333">
        <v>5890</v>
      </c>
      <c r="AA333">
        <v>10435</v>
      </c>
      <c r="AB333" t="s">
        <v>40</v>
      </c>
    </row>
    <row r="334" spans="1:28" x14ac:dyDescent="0.3">
      <c r="A334">
        <v>1332</v>
      </c>
      <c r="B334" t="s">
        <v>60</v>
      </c>
      <c r="C334" t="s">
        <v>29</v>
      </c>
      <c r="D334" t="s">
        <v>61</v>
      </c>
      <c r="E334" t="s">
        <v>62</v>
      </c>
      <c r="F334" t="s">
        <v>32</v>
      </c>
      <c r="G334" s="1">
        <v>46100</v>
      </c>
      <c r="H334" t="s">
        <v>71</v>
      </c>
      <c r="I334" t="s">
        <v>69</v>
      </c>
      <c r="J334" t="s">
        <v>72</v>
      </c>
      <c r="K334" t="s">
        <v>59</v>
      </c>
      <c r="L334">
        <v>19</v>
      </c>
      <c r="M334">
        <v>6935</v>
      </c>
      <c r="N334">
        <v>4730.82</v>
      </c>
      <c r="O334">
        <v>2204.1799999999998</v>
      </c>
      <c r="P334">
        <v>225</v>
      </c>
      <c r="Q334">
        <v>5</v>
      </c>
      <c r="R334">
        <v>15</v>
      </c>
      <c r="S334" t="s">
        <v>48</v>
      </c>
      <c r="T334" t="s">
        <v>49</v>
      </c>
      <c r="U334" t="s">
        <v>74</v>
      </c>
      <c r="V334">
        <v>13.08</v>
      </c>
      <c r="W334">
        <v>80.27</v>
      </c>
      <c r="X334">
        <v>11685</v>
      </c>
      <c r="Y334">
        <v>13815</v>
      </c>
      <c r="Z334">
        <v>10643</v>
      </c>
      <c r="AA334">
        <v>11209</v>
      </c>
      <c r="AB334" t="s">
        <v>63</v>
      </c>
    </row>
    <row r="335" spans="1:28" x14ac:dyDescent="0.3">
      <c r="A335">
        <v>1333</v>
      </c>
      <c r="B335" t="s">
        <v>65</v>
      </c>
      <c r="C335" t="s">
        <v>29</v>
      </c>
      <c r="D335" t="s">
        <v>66</v>
      </c>
      <c r="E335" t="s">
        <v>67</v>
      </c>
      <c r="F335" t="s">
        <v>32</v>
      </c>
      <c r="G335" s="1">
        <v>46073</v>
      </c>
      <c r="H335" t="s">
        <v>33</v>
      </c>
      <c r="I335" t="s">
        <v>57</v>
      </c>
      <c r="J335" t="s">
        <v>58</v>
      </c>
      <c r="K335" t="s">
        <v>78</v>
      </c>
      <c r="L335">
        <v>58</v>
      </c>
      <c r="M335">
        <v>11832</v>
      </c>
      <c r="N335">
        <v>6586.87</v>
      </c>
      <c r="O335">
        <v>5245.13</v>
      </c>
      <c r="P335">
        <v>248</v>
      </c>
      <c r="Q335">
        <v>4.5</v>
      </c>
      <c r="R335">
        <v>15</v>
      </c>
      <c r="S335" t="s">
        <v>64</v>
      </c>
      <c r="T335" t="s">
        <v>38</v>
      </c>
      <c r="U335" t="s">
        <v>74</v>
      </c>
      <c r="V335">
        <v>9.93</v>
      </c>
      <c r="W335">
        <v>76.260000000000005</v>
      </c>
      <c r="X335">
        <v>8227</v>
      </c>
      <c r="Y335">
        <v>11199</v>
      </c>
      <c r="Z335">
        <v>6334</v>
      </c>
      <c r="AA335">
        <v>9283</v>
      </c>
      <c r="AB335" t="s">
        <v>63</v>
      </c>
    </row>
    <row r="336" spans="1:28" x14ac:dyDescent="0.3">
      <c r="A336">
        <v>1334</v>
      </c>
      <c r="B336" t="s">
        <v>65</v>
      </c>
      <c r="C336" t="s">
        <v>29</v>
      </c>
      <c r="D336" t="s">
        <v>66</v>
      </c>
      <c r="E336" t="s">
        <v>67</v>
      </c>
      <c r="F336" t="s">
        <v>32</v>
      </c>
      <c r="G336" s="1">
        <v>46073</v>
      </c>
      <c r="H336" t="s">
        <v>33</v>
      </c>
      <c r="I336" t="s">
        <v>69</v>
      </c>
      <c r="J336" t="s">
        <v>70</v>
      </c>
      <c r="K336" t="s">
        <v>59</v>
      </c>
      <c r="L336">
        <v>59</v>
      </c>
      <c r="M336">
        <v>16284</v>
      </c>
      <c r="N336">
        <v>10610.68</v>
      </c>
      <c r="O336">
        <v>5673.32</v>
      </c>
      <c r="P336">
        <v>131</v>
      </c>
      <c r="Q336">
        <v>4.5</v>
      </c>
      <c r="R336">
        <v>15</v>
      </c>
      <c r="S336" t="s">
        <v>37</v>
      </c>
      <c r="T336" t="s">
        <v>76</v>
      </c>
      <c r="U336" t="s">
        <v>55</v>
      </c>
      <c r="V336">
        <v>9.93</v>
      </c>
      <c r="W336">
        <v>76.260000000000005</v>
      </c>
      <c r="X336">
        <v>10424</v>
      </c>
      <c r="Y336">
        <v>13073</v>
      </c>
      <c r="Z336">
        <v>9053</v>
      </c>
      <c r="AA336">
        <v>10952</v>
      </c>
      <c r="AB336" t="s">
        <v>40</v>
      </c>
    </row>
    <row r="337" spans="1:28" x14ac:dyDescent="0.3">
      <c r="A337">
        <v>1335</v>
      </c>
      <c r="B337" t="s">
        <v>60</v>
      </c>
      <c r="C337" t="s">
        <v>29</v>
      </c>
      <c r="D337" t="s">
        <v>61</v>
      </c>
      <c r="E337" t="s">
        <v>62</v>
      </c>
      <c r="F337" t="s">
        <v>32</v>
      </c>
      <c r="G337" s="1">
        <v>46129</v>
      </c>
      <c r="H337" t="s">
        <v>75</v>
      </c>
      <c r="I337" t="s">
        <v>34</v>
      </c>
      <c r="J337" t="s">
        <v>46</v>
      </c>
      <c r="K337" t="s">
        <v>78</v>
      </c>
      <c r="L337">
        <v>52</v>
      </c>
      <c r="M337">
        <v>17264</v>
      </c>
      <c r="N337">
        <v>11663.65</v>
      </c>
      <c r="O337">
        <v>5600.35</v>
      </c>
      <c r="P337">
        <v>181</v>
      </c>
      <c r="Q337">
        <v>3.6</v>
      </c>
      <c r="R337">
        <v>5</v>
      </c>
      <c r="S337" t="s">
        <v>48</v>
      </c>
      <c r="T337" t="s">
        <v>38</v>
      </c>
      <c r="U337" t="s">
        <v>39</v>
      </c>
      <c r="V337">
        <v>13.08</v>
      </c>
      <c r="W337">
        <v>80.27</v>
      </c>
      <c r="X337">
        <v>12438</v>
      </c>
      <c r="Y337">
        <v>15939</v>
      </c>
      <c r="Z337">
        <v>11330</v>
      </c>
      <c r="AA337">
        <v>14688</v>
      </c>
      <c r="AB337" t="s">
        <v>40</v>
      </c>
    </row>
    <row r="338" spans="1:28" x14ac:dyDescent="0.3">
      <c r="A338">
        <v>1336</v>
      </c>
      <c r="B338" t="s">
        <v>41</v>
      </c>
      <c r="C338" t="s">
        <v>29</v>
      </c>
      <c r="D338" t="s">
        <v>42</v>
      </c>
      <c r="E338" t="s">
        <v>43</v>
      </c>
      <c r="F338" t="s">
        <v>44</v>
      </c>
      <c r="G338" s="1">
        <v>46138</v>
      </c>
      <c r="H338" t="s">
        <v>75</v>
      </c>
      <c r="I338" t="s">
        <v>69</v>
      </c>
      <c r="J338" t="s">
        <v>72</v>
      </c>
      <c r="K338" t="s">
        <v>73</v>
      </c>
      <c r="L338">
        <v>29</v>
      </c>
      <c r="M338">
        <v>5336</v>
      </c>
      <c r="N338">
        <v>3484.63</v>
      </c>
      <c r="O338">
        <v>1851.37</v>
      </c>
      <c r="P338">
        <v>271</v>
      </c>
      <c r="Q338">
        <v>3.6</v>
      </c>
      <c r="R338">
        <v>0</v>
      </c>
      <c r="S338" t="s">
        <v>48</v>
      </c>
      <c r="T338" t="s">
        <v>76</v>
      </c>
      <c r="U338" t="s">
        <v>55</v>
      </c>
      <c r="V338">
        <v>28.61</v>
      </c>
      <c r="W338">
        <v>77.2</v>
      </c>
      <c r="X338">
        <v>6048</v>
      </c>
      <c r="Y338">
        <v>8185</v>
      </c>
      <c r="Z338">
        <v>4441</v>
      </c>
      <c r="AA338">
        <v>6753</v>
      </c>
      <c r="AB338" t="s">
        <v>56</v>
      </c>
    </row>
    <row r="339" spans="1:28" x14ac:dyDescent="0.3">
      <c r="A339">
        <v>1337</v>
      </c>
      <c r="B339" t="s">
        <v>41</v>
      </c>
      <c r="C339" t="s">
        <v>29</v>
      </c>
      <c r="D339" t="s">
        <v>42</v>
      </c>
      <c r="E339" t="s">
        <v>43</v>
      </c>
      <c r="F339" t="s">
        <v>44</v>
      </c>
      <c r="G339" s="1">
        <v>46062</v>
      </c>
      <c r="H339" t="s">
        <v>33</v>
      </c>
      <c r="I339" t="s">
        <v>34</v>
      </c>
      <c r="J339" t="s">
        <v>46</v>
      </c>
      <c r="K339" t="s">
        <v>47</v>
      </c>
      <c r="L339">
        <v>47</v>
      </c>
      <c r="M339">
        <v>16967</v>
      </c>
      <c r="N339">
        <v>13452.04</v>
      </c>
      <c r="O339">
        <v>3514.96</v>
      </c>
      <c r="P339">
        <v>202</v>
      </c>
      <c r="Q339">
        <v>4.7</v>
      </c>
      <c r="R339">
        <v>5</v>
      </c>
      <c r="S339" t="s">
        <v>37</v>
      </c>
      <c r="T339" t="s">
        <v>49</v>
      </c>
      <c r="U339" t="s">
        <v>74</v>
      </c>
      <c r="V339">
        <v>28.61</v>
      </c>
      <c r="W339">
        <v>77.2</v>
      </c>
      <c r="X339">
        <v>13794</v>
      </c>
      <c r="Y339">
        <v>16729</v>
      </c>
      <c r="Z339">
        <v>11807</v>
      </c>
      <c r="AA339">
        <v>14303</v>
      </c>
      <c r="AB339" t="s">
        <v>40</v>
      </c>
    </row>
    <row r="340" spans="1:28" x14ac:dyDescent="0.3">
      <c r="A340">
        <v>1338</v>
      </c>
      <c r="B340" t="s">
        <v>41</v>
      </c>
      <c r="C340" t="s">
        <v>29</v>
      </c>
      <c r="D340" t="s">
        <v>42</v>
      </c>
      <c r="E340" t="s">
        <v>43</v>
      </c>
      <c r="F340" t="s">
        <v>44</v>
      </c>
      <c r="G340" s="1">
        <v>46075</v>
      </c>
      <c r="H340" t="s">
        <v>33</v>
      </c>
      <c r="I340" t="s">
        <v>80</v>
      </c>
      <c r="J340" t="s">
        <v>81</v>
      </c>
      <c r="K340" t="s">
        <v>78</v>
      </c>
      <c r="L340">
        <v>50</v>
      </c>
      <c r="M340">
        <v>10050</v>
      </c>
      <c r="N340">
        <v>7758.1</v>
      </c>
      <c r="O340">
        <v>2291.9</v>
      </c>
      <c r="P340">
        <v>71</v>
      </c>
      <c r="Q340">
        <v>4.8</v>
      </c>
      <c r="R340">
        <v>5</v>
      </c>
      <c r="S340" t="s">
        <v>48</v>
      </c>
      <c r="T340" t="s">
        <v>38</v>
      </c>
      <c r="U340" t="s">
        <v>74</v>
      </c>
      <c r="V340">
        <v>28.61</v>
      </c>
      <c r="W340">
        <v>77.2</v>
      </c>
      <c r="X340">
        <v>13452</v>
      </c>
      <c r="Y340">
        <v>18053</v>
      </c>
      <c r="Z340">
        <v>11988</v>
      </c>
      <c r="AA340">
        <v>13403</v>
      </c>
      <c r="AB340" t="s">
        <v>56</v>
      </c>
    </row>
    <row r="341" spans="1:28" x14ac:dyDescent="0.3">
      <c r="A341">
        <v>1339</v>
      </c>
      <c r="B341" t="s">
        <v>50</v>
      </c>
      <c r="C341" t="s">
        <v>29</v>
      </c>
      <c r="D341" t="s">
        <v>51</v>
      </c>
      <c r="E341" t="s">
        <v>52</v>
      </c>
      <c r="F341" t="s">
        <v>53</v>
      </c>
      <c r="G341" s="1">
        <v>46084</v>
      </c>
      <c r="H341" t="s">
        <v>71</v>
      </c>
      <c r="I341" t="s">
        <v>57</v>
      </c>
      <c r="J341" t="s">
        <v>83</v>
      </c>
      <c r="K341" t="s">
        <v>59</v>
      </c>
      <c r="L341">
        <v>26</v>
      </c>
      <c r="M341">
        <v>10322</v>
      </c>
      <c r="N341">
        <v>6123.51</v>
      </c>
      <c r="O341">
        <v>4198.49</v>
      </c>
      <c r="P341">
        <v>113</v>
      </c>
      <c r="Q341">
        <v>3.9</v>
      </c>
      <c r="R341">
        <v>5</v>
      </c>
      <c r="S341" t="s">
        <v>37</v>
      </c>
      <c r="T341" t="s">
        <v>76</v>
      </c>
      <c r="U341" t="s">
        <v>55</v>
      </c>
      <c r="V341">
        <v>19.07</v>
      </c>
      <c r="W341">
        <v>72.87</v>
      </c>
      <c r="X341">
        <v>14902</v>
      </c>
      <c r="Y341">
        <v>16875</v>
      </c>
      <c r="Z341">
        <v>14230</v>
      </c>
      <c r="AA341">
        <v>15029</v>
      </c>
      <c r="AB341" t="s">
        <v>40</v>
      </c>
    </row>
    <row r="342" spans="1:28" x14ac:dyDescent="0.3">
      <c r="A342">
        <v>1340</v>
      </c>
      <c r="B342" t="s">
        <v>50</v>
      </c>
      <c r="C342" t="s">
        <v>29</v>
      </c>
      <c r="D342" t="s">
        <v>51</v>
      </c>
      <c r="E342" t="s">
        <v>52</v>
      </c>
      <c r="F342" t="s">
        <v>53</v>
      </c>
      <c r="G342" s="1">
        <v>46023</v>
      </c>
      <c r="H342" t="s">
        <v>45</v>
      </c>
      <c r="I342" t="s">
        <v>69</v>
      </c>
      <c r="J342" t="s">
        <v>72</v>
      </c>
      <c r="K342" t="s">
        <v>36</v>
      </c>
      <c r="L342">
        <v>27</v>
      </c>
      <c r="M342">
        <v>10530</v>
      </c>
      <c r="N342">
        <v>6217.02</v>
      </c>
      <c r="O342">
        <v>4312.9799999999996</v>
      </c>
      <c r="P342">
        <v>126</v>
      </c>
      <c r="Q342">
        <v>4</v>
      </c>
      <c r="R342">
        <v>5</v>
      </c>
      <c r="S342" t="s">
        <v>48</v>
      </c>
      <c r="T342" t="s">
        <v>49</v>
      </c>
      <c r="U342" t="s">
        <v>55</v>
      </c>
      <c r="V342">
        <v>19.07</v>
      </c>
      <c r="W342">
        <v>72.87</v>
      </c>
      <c r="X342">
        <v>12618</v>
      </c>
      <c r="Y342">
        <v>15477</v>
      </c>
      <c r="Z342">
        <v>11352</v>
      </c>
      <c r="AA342">
        <v>15058</v>
      </c>
      <c r="AB342" t="s">
        <v>40</v>
      </c>
    </row>
    <row r="343" spans="1:28" x14ac:dyDescent="0.3">
      <c r="A343">
        <v>1341</v>
      </c>
      <c r="B343" t="s">
        <v>50</v>
      </c>
      <c r="C343" t="s">
        <v>29</v>
      </c>
      <c r="D343" t="s">
        <v>51</v>
      </c>
      <c r="E343" t="s">
        <v>52</v>
      </c>
      <c r="F343" t="s">
        <v>53</v>
      </c>
      <c r="G343" s="1">
        <v>46094</v>
      </c>
      <c r="H343" t="s">
        <v>71</v>
      </c>
      <c r="I343" t="s">
        <v>80</v>
      </c>
      <c r="J343" t="s">
        <v>81</v>
      </c>
      <c r="K343" t="s">
        <v>36</v>
      </c>
      <c r="L343">
        <v>7</v>
      </c>
      <c r="M343">
        <v>2807</v>
      </c>
      <c r="N343">
        <v>1634.03</v>
      </c>
      <c r="O343">
        <v>1172.97</v>
      </c>
      <c r="P343">
        <v>245</v>
      </c>
      <c r="Q343">
        <v>4.3</v>
      </c>
      <c r="R343">
        <v>10</v>
      </c>
      <c r="S343" t="s">
        <v>37</v>
      </c>
      <c r="T343" t="s">
        <v>76</v>
      </c>
      <c r="U343" t="s">
        <v>39</v>
      </c>
      <c r="V343">
        <v>19.07</v>
      </c>
      <c r="W343">
        <v>72.87</v>
      </c>
      <c r="X343">
        <v>5743</v>
      </c>
      <c r="Y343">
        <v>7039</v>
      </c>
      <c r="Z343">
        <v>4050</v>
      </c>
      <c r="AA343">
        <v>4229</v>
      </c>
      <c r="AB343" t="s">
        <v>63</v>
      </c>
    </row>
    <row r="344" spans="1:28" x14ac:dyDescent="0.3">
      <c r="A344">
        <v>1342</v>
      </c>
      <c r="B344" t="s">
        <v>50</v>
      </c>
      <c r="C344" t="s">
        <v>29</v>
      </c>
      <c r="D344" t="s">
        <v>51</v>
      </c>
      <c r="E344" t="s">
        <v>52</v>
      </c>
      <c r="F344" t="s">
        <v>53</v>
      </c>
      <c r="G344" s="1">
        <v>46192</v>
      </c>
      <c r="H344" t="s">
        <v>68</v>
      </c>
      <c r="I344" t="s">
        <v>34</v>
      </c>
      <c r="J344" t="s">
        <v>77</v>
      </c>
      <c r="K344" t="s">
        <v>73</v>
      </c>
      <c r="L344">
        <v>53</v>
      </c>
      <c r="M344">
        <v>11448</v>
      </c>
      <c r="N344">
        <v>7554.72</v>
      </c>
      <c r="O344">
        <v>3893.28</v>
      </c>
      <c r="P344">
        <v>217</v>
      </c>
      <c r="Q344">
        <v>3.8</v>
      </c>
      <c r="R344">
        <v>10</v>
      </c>
      <c r="S344" t="s">
        <v>37</v>
      </c>
      <c r="T344" t="s">
        <v>49</v>
      </c>
      <c r="U344" t="s">
        <v>39</v>
      </c>
      <c r="V344">
        <v>19.07</v>
      </c>
      <c r="W344">
        <v>72.87</v>
      </c>
      <c r="X344">
        <v>13046</v>
      </c>
      <c r="Y344">
        <v>14268</v>
      </c>
      <c r="Z344">
        <v>11784</v>
      </c>
      <c r="AA344">
        <v>12032</v>
      </c>
      <c r="AB344" t="s">
        <v>63</v>
      </c>
    </row>
    <row r="345" spans="1:28" x14ac:dyDescent="0.3">
      <c r="A345">
        <v>1343</v>
      </c>
      <c r="B345" t="s">
        <v>65</v>
      </c>
      <c r="C345" t="s">
        <v>29</v>
      </c>
      <c r="D345" t="s">
        <v>66</v>
      </c>
      <c r="E345" t="s">
        <v>67</v>
      </c>
      <c r="F345" t="s">
        <v>32</v>
      </c>
      <c r="G345" s="1">
        <v>46130</v>
      </c>
      <c r="H345" t="s">
        <v>75</v>
      </c>
      <c r="I345" t="s">
        <v>80</v>
      </c>
      <c r="J345" t="s">
        <v>81</v>
      </c>
      <c r="K345" t="s">
        <v>59</v>
      </c>
      <c r="L345">
        <v>57</v>
      </c>
      <c r="M345">
        <v>13053</v>
      </c>
      <c r="N345">
        <v>8040.22</v>
      </c>
      <c r="O345">
        <v>5012.78</v>
      </c>
      <c r="P345">
        <v>123</v>
      </c>
      <c r="Q345">
        <v>4.3</v>
      </c>
      <c r="R345">
        <v>5</v>
      </c>
      <c r="S345" t="s">
        <v>48</v>
      </c>
      <c r="T345" t="s">
        <v>38</v>
      </c>
      <c r="U345" t="s">
        <v>74</v>
      </c>
      <c r="V345">
        <v>9.93</v>
      </c>
      <c r="W345">
        <v>76.260000000000005</v>
      </c>
      <c r="X345">
        <v>5141</v>
      </c>
      <c r="Y345">
        <v>9070</v>
      </c>
      <c r="Z345">
        <v>4327</v>
      </c>
      <c r="AA345">
        <v>5571</v>
      </c>
      <c r="AB345" t="s">
        <v>56</v>
      </c>
    </row>
    <row r="346" spans="1:28" x14ac:dyDescent="0.3">
      <c r="A346">
        <v>1344</v>
      </c>
      <c r="B346" t="s">
        <v>60</v>
      </c>
      <c r="C346" t="s">
        <v>29</v>
      </c>
      <c r="D346" t="s">
        <v>61</v>
      </c>
      <c r="E346" t="s">
        <v>62</v>
      </c>
      <c r="F346" t="s">
        <v>32</v>
      </c>
      <c r="G346" s="1">
        <v>46052</v>
      </c>
      <c r="H346" t="s">
        <v>45</v>
      </c>
      <c r="I346" t="s">
        <v>80</v>
      </c>
      <c r="J346" t="s">
        <v>81</v>
      </c>
      <c r="K346" t="s">
        <v>47</v>
      </c>
      <c r="L346">
        <v>39</v>
      </c>
      <c r="M346">
        <v>9477</v>
      </c>
      <c r="N346">
        <v>5404.3</v>
      </c>
      <c r="O346">
        <v>4072.7</v>
      </c>
      <c r="P346">
        <v>119</v>
      </c>
      <c r="Q346">
        <v>4.3</v>
      </c>
      <c r="R346">
        <v>15</v>
      </c>
      <c r="S346" t="s">
        <v>48</v>
      </c>
      <c r="T346" t="s">
        <v>76</v>
      </c>
      <c r="U346" t="s">
        <v>39</v>
      </c>
      <c r="V346">
        <v>13.08</v>
      </c>
      <c r="W346">
        <v>80.27</v>
      </c>
      <c r="X346">
        <v>10295</v>
      </c>
      <c r="Y346">
        <v>13624</v>
      </c>
      <c r="Z346">
        <v>9086</v>
      </c>
      <c r="AA346">
        <v>12503</v>
      </c>
      <c r="AB346" t="s">
        <v>56</v>
      </c>
    </row>
    <row r="347" spans="1:28" x14ac:dyDescent="0.3">
      <c r="A347">
        <v>1345</v>
      </c>
      <c r="B347" t="s">
        <v>60</v>
      </c>
      <c r="C347" t="s">
        <v>29</v>
      </c>
      <c r="D347" t="s">
        <v>61</v>
      </c>
      <c r="E347" t="s">
        <v>62</v>
      </c>
      <c r="F347" t="s">
        <v>32</v>
      </c>
      <c r="G347" s="1">
        <v>46135</v>
      </c>
      <c r="H347" t="s">
        <v>75</v>
      </c>
      <c r="I347" t="s">
        <v>34</v>
      </c>
      <c r="J347" t="s">
        <v>46</v>
      </c>
      <c r="K347" t="s">
        <v>59</v>
      </c>
      <c r="L347">
        <v>27</v>
      </c>
      <c r="M347">
        <v>7155</v>
      </c>
      <c r="N347">
        <v>4582.5200000000004</v>
      </c>
      <c r="O347">
        <v>2572.48</v>
      </c>
      <c r="P347">
        <v>264</v>
      </c>
      <c r="Q347">
        <v>3.9</v>
      </c>
      <c r="R347">
        <v>5</v>
      </c>
      <c r="S347" t="s">
        <v>37</v>
      </c>
      <c r="T347" t="s">
        <v>76</v>
      </c>
      <c r="U347" t="s">
        <v>55</v>
      </c>
      <c r="V347">
        <v>13.08</v>
      </c>
      <c r="W347">
        <v>80.27</v>
      </c>
      <c r="X347">
        <v>14884</v>
      </c>
      <c r="Y347">
        <v>17042</v>
      </c>
      <c r="Z347">
        <v>13054</v>
      </c>
      <c r="AA347">
        <v>13835</v>
      </c>
      <c r="AB347" t="s">
        <v>40</v>
      </c>
    </row>
    <row r="348" spans="1:28" x14ac:dyDescent="0.3">
      <c r="A348">
        <v>1346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s="1">
        <v>46190</v>
      </c>
      <c r="H348" t="s">
        <v>68</v>
      </c>
      <c r="I348" t="s">
        <v>69</v>
      </c>
      <c r="J348" t="s">
        <v>70</v>
      </c>
      <c r="K348" t="s">
        <v>73</v>
      </c>
      <c r="L348">
        <v>31</v>
      </c>
      <c r="M348">
        <v>10726</v>
      </c>
      <c r="N348">
        <v>6879.08</v>
      </c>
      <c r="O348">
        <v>3846.92</v>
      </c>
      <c r="P348">
        <v>264</v>
      </c>
      <c r="Q348">
        <v>4.5999999999999996</v>
      </c>
      <c r="R348">
        <v>0</v>
      </c>
      <c r="S348" t="s">
        <v>48</v>
      </c>
      <c r="T348" t="s">
        <v>76</v>
      </c>
      <c r="U348" t="s">
        <v>39</v>
      </c>
      <c r="V348">
        <v>12.97</v>
      </c>
      <c r="W348">
        <v>77.59</v>
      </c>
      <c r="X348">
        <v>8267</v>
      </c>
      <c r="Y348">
        <v>12912</v>
      </c>
      <c r="Z348">
        <v>7688</v>
      </c>
      <c r="AA348">
        <v>8437</v>
      </c>
      <c r="AB348" t="s">
        <v>63</v>
      </c>
    </row>
    <row r="349" spans="1:28" x14ac:dyDescent="0.3">
      <c r="A349">
        <v>1347</v>
      </c>
      <c r="B349" t="s">
        <v>50</v>
      </c>
      <c r="C349" t="s">
        <v>29</v>
      </c>
      <c r="D349" t="s">
        <v>51</v>
      </c>
      <c r="E349" t="s">
        <v>52</v>
      </c>
      <c r="F349" t="s">
        <v>53</v>
      </c>
      <c r="G349" s="1">
        <v>46203</v>
      </c>
      <c r="H349" t="s">
        <v>68</v>
      </c>
      <c r="I349" t="s">
        <v>69</v>
      </c>
      <c r="J349" t="s">
        <v>72</v>
      </c>
      <c r="K349" t="s">
        <v>59</v>
      </c>
      <c r="L349">
        <v>53</v>
      </c>
      <c r="M349">
        <v>9593</v>
      </c>
      <c r="N349">
        <v>6467.5</v>
      </c>
      <c r="O349">
        <v>3125.5</v>
      </c>
      <c r="P349">
        <v>293</v>
      </c>
      <c r="Q349">
        <v>3.7</v>
      </c>
      <c r="R349">
        <v>15</v>
      </c>
      <c r="S349" t="s">
        <v>48</v>
      </c>
      <c r="T349" t="s">
        <v>38</v>
      </c>
      <c r="U349" t="s">
        <v>39</v>
      </c>
      <c r="V349">
        <v>19.07</v>
      </c>
      <c r="W349">
        <v>72.87</v>
      </c>
      <c r="X349">
        <v>5955</v>
      </c>
      <c r="Y349">
        <v>8202</v>
      </c>
      <c r="Z349">
        <v>4235</v>
      </c>
      <c r="AA349">
        <v>6902</v>
      </c>
      <c r="AB349" t="s">
        <v>63</v>
      </c>
    </row>
    <row r="350" spans="1:28" x14ac:dyDescent="0.3">
      <c r="A350">
        <v>1348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s="1">
        <v>46033</v>
      </c>
      <c r="H350" t="s">
        <v>45</v>
      </c>
      <c r="I350" t="s">
        <v>34</v>
      </c>
      <c r="J350" t="s">
        <v>77</v>
      </c>
      <c r="K350" t="s">
        <v>73</v>
      </c>
      <c r="L350">
        <v>32</v>
      </c>
      <c r="M350">
        <v>10304</v>
      </c>
      <c r="N350">
        <v>7234.09</v>
      </c>
      <c r="O350">
        <v>3069.91</v>
      </c>
      <c r="P350">
        <v>253</v>
      </c>
      <c r="Q350">
        <v>4.5999999999999996</v>
      </c>
      <c r="R350">
        <v>15</v>
      </c>
      <c r="S350" t="s">
        <v>37</v>
      </c>
      <c r="T350" t="s">
        <v>49</v>
      </c>
      <c r="U350" t="s">
        <v>39</v>
      </c>
      <c r="V350">
        <v>12.97</v>
      </c>
      <c r="W350">
        <v>77.59</v>
      </c>
      <c r="X350">
        <v>11704</v>
      </c>
      <c r="Y350">
        <v>14717</v>
      </c>
      <c r="Z350">
        <v>10080</v>
      </c>
      <c r="AA350">
        <v>13699</v>
      </c>
      <c r="AB350" t="s">
        <v>79</v>
      </c>
    </row>
    <row r="351" spans="1:28" x14ac:dyDescent="0.3">
      <c r="A351">
        <v>1349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s="1">
        <v>46112</v>
      </c>
      <c r="H351" t="s">
        <v>71</v>
      </c>
      <c r="I351" t="s">
        <v>80</v>
      </c>
      <c r="J351" t="s">
        <v>82</v>
      </c>
      <c r="K351" t="s">
        <v>73</v>
      </c>
      <c r="L351">
        <v>27</v>
      </c>
      <c r="M351">
        <v>10665</v>
      </c>
      <c r="N351">
        <v>6062.05</v>
      </c>
      <c r="O351">
        <v>4602.95</v>
      </c>
      <c r="P351">
        <v>127</v>
      </c>
      <c r="Q351">
        <v>3.7</v>
      </c>
      <c r="R351">
        <v>0</v>
      </c>
      <c r="S351" t="s">
        <v>37</v>
      </c>
      <c r="T351" t="s">
        <v>38</v>
      </c>
      <c r="U351" t="s">
        <v>55</v>
      </c>
      <c r="V351">
        <v>12.97</v>
      </c>
      <c r="W351">
        <v>77.59</v>
      </c>
      <c r="X351">
        <v>11612</v>
      </c>
      <c r="Y351">
        <v>16089</v>
      </c>
      <c r="Z351">
        <v>9772</v>
      </c>
      <c r="AA351">
        <v>11802</v>
      </c>
      <c r="AB351" t="s">
        <v>56</v>
      </c>
    </row>
    <row r="352" spans="1:28" x14ac:dyDescent="0.3">
      <c r="A352">
        <v>1350</v>
      </c>
      <c r="B352" t="s">
        <v>41</v>
      </c>
      <c r="C352" t="s">
        <v>29</v>
      </c>
      <c r="D352" t="s">
        <v>42</v>
      </c>
      <c r="E352" t="s">
        <v>43</v>
      </c>
      <c r="F352" t="s">
        <v>44</v>
      </c>
      <c r="G352" s="1">
        <v>46108</v>
      </c>
      <c r="H352" t="s">
        <v>71</v>
      </c>
      <c r="I352" t="s">
        <v>57</v>
      </c>
      <c r="J352" t="s">
        <v>58</v>
      </c>
      <c r="K352" t="s">
        <v>73</v>
      </c>
      <c r="L352">
        <v>37</v>
      </c>
      <c r="M352">
        <v>13801</v>
      </c>
      <c r="N352">
        <v>9691.8700000000008</v>
      </c>
      <c r="O352">
        <v>4109.13</v>
      </c>
      <c r="P352">
        <v>273</v>
      </c>
      <c r="Q352">
        <v>3.5</v>
      </c>
      <c r="R352">
        <v>10</v>
      </c>
      <c r="S352" t="s">
        <v>37</v>
      </c>
      <c r="T352" t="s">
        <v>49</v>
      </c>
      <c r="U352" t="s">
        <v>74</v>
      </c>
      <c r="V352">
        <v>28.61</v>
      </c>
      <c r="W352">
        <v>77.2</v>
      </c>
      <c r="X352">
        <v>8823</v>
      </c>
      <c r="Y352">
        <v>12417</v>
      </c>
      <c r="Z352">
        <v>7581</v>
      </c>
      <c r="AA352">
        <v>9450</v>
      </c>
      <c r="AB352" t="s">
        <v>63</v>
      </c>
    </row>
    <row r="353" spans="1:28" x14ac:dyDescent="0.3">
      <c r="A353">
        <v>1351</v>
      </c>
      <c r="B353" t="s">
        <v>41</v>
      </c>
      <c r="C353" t="s">
        <v>29</v>
      </c>
      <c r="D353" t="s">
        <v>42</v>
      </c>
      <c r="E353" t="s">
        <v>43</v>
      </c>
      <c r="F353" t="s">
        <v>44</v>
      </c>
      <c r="G353" s="1">
        <v>46188</v>
      </c>
      <c r="H353" t="s">
        <v>68</v>
      </c>
      <c r="I353" t="s">
        <v>80</v>
      </c>
      <c r="J353" t="s">
        <v>82</v>
      </c>
      <c r="K353" t="s">
        <v>36</v>
      </c>
      <c r="L353">
        <v>39</v>
      </c>
      <c r="M353">
        <v>15093</v>
      </c>
      <c r="N353">
        <v>9055.07</v>
      </c>
      <c r="O353">
        <v>6037.93</v>
      </c>
      <c r="P353">
        <v>61</v>
      </c>
      <c r="Q353">
        <v>4.7</v>
      </c>
      <c r="R353">
        <v>15</v>
      </c>
      <c r="S353" t="s">
        <v>37</v>
      </c>
      <c r="T353" t="s">
        <v>38</v>
      </c>
      <c r="U353" t="s">
        <v>55</v>
      </c>
      <c r="V353">
        <v>28.61</v>
      </c>
      <c r="W353">
        <v>77.2</v>
      </c>
      <c r="X353">
        <v>14555</v>
      </c>
      <c r="Y353">
        <v>18239</v>
      </c>
      <c r="Z353">
        <v>14045</v>
      </c>
      <c r="AA353">
        <v>14188</v>
      </c>
      <c r="AB353" t="s">
        <v>40</v>
      </c>
    </row>
    <row r="354" spans="1:28" x14ac:dyDescent="0.3">
      <c r="A354">
        <v>1352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s="1">
        <v>46046</v>
      </c>
      <c r="H354" t="s">
        <v>45</v>
      </c>
      <c r="I354" t="s">
        <v>69</v>
      </c>
      <c r="J354" t="s">
        <v>72</v>
      </c>
      <c r="K354" t="s">
        <v>73</v>
      </c>
      <c r="L354">
        <v>9</v>
      </c>
      <c r="M354">
        <v>1935</v>
      </c>
      <c r="N354">
        <v>1347.58</v>
      </c>
      <c r="O354">
        <v>587.41999999999996</v>
      </c>
      <c r="P354">
        <v>125</v>
      </c>
      <c r="Q354">
        <v>3.6</v>
      </c>
      <c r="R354">
        <v>5</v>
      </c>
      <c r="S354" t="s">
        <v>48</v>
      </c>
      <c r="T354" t="s">
        <v>38</v>
      </c>
      <c r="U354" t="s">
        <v>55</v>
      </c>
      <c r="V354">
        <v>12.97</v>
      </c>
      <c r="W354">
        <v>77.59</v>
      </c>
      <c r="X354">
        <v>7716</v>
      </c>
      <c r="Y354">
        <v>11794</v>
      </c>
      <c r="Z354">
        <v>6461</v>
      </c>
      <c r="AA354">
        <v>8831</v>
      </c>
      <c r="AB354" t="s">
        <v>79</v>
      </c>
    </row>
    <row r="355" spans="1:28" x14ac:dyDescent="0.3">
      <c r="A355">
        <v>1353</v>
      </c>
      <c r="B355" t="s">
        <v>65</v>
      </c>
      <c r="C355" t="s">
        <v>29</v>
      </c>
      <c r="D355" t="s">
        <v>66</v>
      </c>
      <c r="E355" t="s">
        <v>67</v>
      </c>
      <c r="F355" t="s">
        <v>32</v>
      </c>
      <c r="G355" s="1">
        <v>46150</v>
      </c>
      <c r="H355" t="s">
        <v>54</v>
      </c>
      <c r="I355" t="s">
        <v>80</v>
      </c>
      <c r="J355" t="s">
        <v>81</v>
      </c>
      <c r="K355" t="s">
        <v>36</v>
      </c>
      <c r="L355">
        <v>18</v>
      </c>
      <c r="M355">
        <v>7272</v>
      </c>
      <c r="N355">
        <v>4876.78</v>
      </c>
      <c r="O355">
        <v>2395.2199999999998</v>
      </c>
      <c r="P355">
        <v>250</v>
      </c>
      <c r="Q355">
        <v>3.6</v>
      </c>
      <c r="R355">
        <v>5</v>
      </c>
      <c r="S355" t="s">
        <v>37</v>
      </c>
      <c r="T355" t="s">
        <v>49</v>
      </c>
      <c r="U355" t="s">
        <v>74</v>
      </c>
      <c r="V355">
        <v>9.93</v>
      </c>
      <c r="W355">
        <v>76.260000000000005</v>
      </c>
      <c r="X355">
        <v>14392</v>
      </c>
      <c r="Y355">
        <v>17278</v>
      </c>
      <c r="Z355">
        <v>13020</v>
      </c>
      <c r="AA355">
        <v>16534</v>
      </c>
      <c r="AB355" t="s">
        <v>56</v>
      </c>
    </row>
    <row r="356" spans="1:28" x14ac:dyDescent="0.3">
      <c r="A356">
        <v>1354</v>
      </c>
      <c r="B356" t="s">
        <v>50</v>
      </c>
      <c r="C356" t="s">
        <v>29</v>
      </c>
      <c r="D356" t="s">
        <v>51</v>
      </c>
      <c r="E356" t="s">
        <v>52</v>
      </c>
      <c r="F356" t="s">
        <v>53</v>
      </c>
      <c r="G356" s="1">
        <v>46088</v>
      </c>
      <c r="H356" t="s">
        <v>71</v>
      </c>
      <c r="I356" t="s">
        <v>57</v>
      </c>
      <c r="J356" t="s">
        <v>83</v>
      </c>
      <c r="K356" t="s">
        <v>47</v>
      </c>
      <c r="L356">
        <v>33</v>
      </c>
      <c r="M356">
        <v>7623</v>
      </c>
      <c r="N356">
        <v>5193.59</v>
      </c>
      <c r="O356">
        <v>2429.41</v>
      </c>
      <c r="P356">
        <v>49</v>
      </c>
      <c r="Q356">
        <v>3.6</v>
      </c>
      <c r="R356">
        <v>0</v>
      </c>
      <c r="S356" t="s">
        <v>48</v>
      </c>
      <c r="T356" t="s">
        <v>49</v>
      </c>
      <c r="U356" t="s">
        <v>55</v>
      </c>
      <c r="V356">
        <v>19.07</v>
      </c>
      <c r="W356">
        <v>72.87</v>
      </c>
      <c r="X356">
        <v>14913</v>
      </c>
      <c r="Y356">
        <v>16527</v>
      </c>
      <c r="Z356">
        <v>13946</v>
      </c>
      <c r="AA356">
        <v>16012</v>
      </c>
      <c r="AB356" t="s">
        <v>63</v>
      </c>
    </row>
    <row r="357" spans="1:28" x14ac:dyDescent="0.3">
      <c r="A357">
        <v>1355</v>
      </c>
      <c r="B357" t="s">
        <v>50</v>
      </c>
      <c r="C357" t="s">
        <v>29</v>
      </c>
      <c r="D357" t="s">
        <v>51</v>
      </c>
      <c r="E357" t="s">
        <v>52</v>
      </c>
      <c r="F357" t="s">
        <v>53</v>
      </c>
      <c r="G357" s="1">
        <v>46135</v>
      </c>
      <c r="H357" t="s">
        <v>75</v>
      </c>
      <c r="I357" t="s">
        <v>69</v>
      </c>
      <c r="J357" t="s">
        <v>72</v>
      </c>
      <c r="K357" t="s">
        <v>59</v>
      </c>
      <c r="L357">
        <v>12</v>
      </c>
      <c r="M357">
        <v>2784</v>
      </c>
      <c r="N357">
        <v>2191</v>
      </c>
      <c r="O357">
        <v>593</v>
      </c>
      <c r="P357">
        <v>233</v>
      </c>
      <c r="Q357">
        <v>4.4000000000000004</v>
      </c>
      <c r="R357">
        <v>15</v>
      </c>
      <c r="S357" t="s">
        <v>48</v>
      </c>
      <c r="T357" t="s">
        <v>38</v>
      </c>
      <c r="U357" t="s">
        <v>74</v>
      </c>
      <c r="V357">
        <v>19.07</v>
      </c>
      <c r="W357">
        <v>72.87</v>
      </c>
      <c r="X357">
        <v>12783</v>
      </c>
      <c r="Y357">
        <v>16513</v>
      </c>
      <c r="Z357">
        <v>12117</v>
      </c>
      <c r="AA357">
        <v>13740</v>
      </c>
      <c r="AB357" t="s">
        <v>79</v>
      </c>
    </row>
    <row r="358" spans="1:28" x14ac:dyDescent="0.3">
      <c r="A358">
        <v>1356</v>
      </c>
      <c r="B358" t="s">
        <v>41</v>
      </c>
      <c r="C358" t="s">
        <v>29</v>
      </c>
      <c r="D358" t="s">
        <v>42</v>
      </c>
      <c r="E358" t="s">
        <v>43</v>
      </c>
      <c r="F358" t="s">
        <v>44</v>
      </c>
      <c r="G358" s="1">
        <v>46130</v>
      </c>
      <c r="H358" t="s">
        <v>75</v>
      </c>
      <c r="I358" t="s">
        <v>80</v>
      </c>
      <c r="J358" t="s">
        <v>81</v>
      </c>
      <c r="K358" t="s">
        <v>47</v>
      </c>
      <c r="L358">
        <v>38</v>
      </c>
      <c r="M358">
        <v>8170</v>
      </c>
      <c r="N358">
        <v>6515.04</v>
      </c>
      <c r="O358">
        <v>1654.96</v>
      </c>
      <c r="P358">
        <v>67</v>
      </c>
      <c r="Q358">
        <v>4.7</v>
      </c>
      <c r="R358">
        <v>0</v>
      </c>
      <c r="S358" t="s">
        <v>64</v>
      </c>
      <c r="T358" t="s">
        <v>49</v>
      </c>
      <c r="U358" t="s">
        <v>74</v>
      </c>
      <c r="V358">
        <v>28.61</v>
      </c>
      <c r="W358">
        <v>77.2</v>
      </c>
      <c r="X358">
        <v>7011</v>
      </c>
      <c r="Y358">
        <v>11273</v>
      </c>
      <c r="Z358">
        <v>5623</v>
      </c>
      <c r="AA358">
        <v>10204</v>
      </c>
      <c r="AB358" t="s">
        <v>56</v>
      </c>
    </row>
    <row r="359" spans="1:28" x14ac:dyDescent="0.3">
      <c r="A359">
        <v>1357</v>
      </c>
      <c r="B359" t="s">
        <v>50</v>
      </c>
      <c r="C359" t="s">
        <v>29</v>
      </c>
      <c r="D359" t="s">
        <v>51</v>
      </c>
      <c r="E359" t="s">
        <v>52</v>
      </c>
      <c r="F359" t="s">
        <v>53</v>
      </c>
      <c r="G359" s="1">
        <v>46032</v>
      </c>
      <c r="H359" t="s">
        <v>45</v>
      </c>
      <c r="I359" t="s">
        <v>57</v>
      </c>
      <c r="J359" t="s">
        <v>58</v>
      </c>
      <c r="K359" t="s">
        <v>47</v>
      </c>
      <c r="L359">
        <v>8</v>
      </c>
      <c r="M359">
        <v>1808</v>
      </c>
      <c r="N359">
        <v>1178.83</v>
      </c>
      <c r="O359">
        <v>629.16999999999996</v>
      </c>
      <c r="P359">
        <v>281</v>
      </c>
      <c r="Q359">
        <v>4.3</v>
      </c>
      <c r="R359">
        <v>5</v>
      </c>
      <c r="S359" t="s">
        <v>64</v>
      </c>
      <c r="T359" t="s">
        <v>38</v>
      </c>
      <c r="U359" t="s">
        <v>55</v>
      </c>
      <c r="V359">
        <v>19.07</v>
      </c>
      <c r="W359">
        <v>72.87</v>
      </c>
      <c r="X359">
        <v>5818</v>
      </c>
      <c r="Y359">
        <v>8478</v>
      </c>
      <c r="Z359">
        <v>5003</v>
      </c>
      <c r="AA359">
        <v>5048</v>
      </c>
      <c r="AB359" t="s">
        <v>40</v>
      </c>
    </row>
    <row r="360" spans="1:28" x14ac:dyDescent="0.3">
      <c r="A360">
        <v>1358</v>
      </c>
      <c r="B360" t="s">
        <v>50</v>
      </c>
      <c r="C360" t="s">
        <v>29</v>
      </c>
      <c r="D360" t="s">
        <v>51</v>
      </c>
      <c r="E360" t="s">
        <v>52</v>
      </c>
      <c r="F360" t="s">
        <v>53</v>
      </c>
      <c r="G360" s="1">
        <v>46076</v>
      </c>
      <c r="H360" t="s">
        <v>33</v>
      </c>
      <c r="I360" t="s">
        <v>80</v>
      </c>
      <c r="J360" t="s">
        <v>81</v>
      </c>
      <c r="K360" t="s">
        <v>47</v>
      </c>
      <c r="L360">
        <v>50</v>
      </c>
      <c r="M360">
        <v>18000</v>
      </c>
      <c r="N360">
        <v>13664.07</v>
      </c>
      <c r="O360">
        <v>4335.93</v>
      </c>
      <c r="P360">
        <v>141</v>
      </c>
      <c r="Q360">
        <v>4.2</v>
      </c>
      <c r="R360">
        <v>5</v>
      </c>
      <c r="S360" t="s">
        <v>48</v>
      </c>
      <c r="T360" t="s">
        <v>38</v>
      </c>
      <c r="U360" t="s">
        <v>74</v>
      </c>
      <c r="V360">
        <v>19.07</v>
      </c>
      <c r="W360">
        <v>72.87</v>
      </c>
      <c r="X360">
        <v>13502</v>
      </c>
      <c r="Y360">
        <v>16069</v>
      </c>
      <c r="Z360">
        <v>11733</v>
      </c>
      <c r="AA360">
        <v>12074</v>
      </c>
      <c r="AB360" t="s">
        <v>40</v>
      </c>
    </row>
    <row r="361" spans="1:28" x14ac:dyDescent="0.3">
      <c r="A361">
        <v>1359</v>
      </c>
      <c r="B361" t="s">
        <v>65</v>
      </c>
      <c r="C361" t="s">
        <v>29</v>
      </c>
      <c r="D361" t="s">
        <v>66</v>
      </c>
      <c r="E361" t="s">
        <v>67</v>
      </c>
      <c r="F361" t="s">
        <v>32</v>
      </c>
      <c r="G361" s="1">
        <v>46103</v>
      </c>
      <c r="H361" t="s">
        <v>71</v>
      </c>
      <c r="I361" t="s">
        <v>34</v>
      </c>
      <c r="J361" t="s">
        <v>46</v>
      </c>
      <c r="K361" t="s">
        <v>78</v>
      </c>
      <c r="L361">
        <v>58</v>
      </c>
      <c r="M361">
        <v>14964</v>
      </c>
      <c r="N361">
        <v>8827.9699999999993</v>
      </c>
      <c r="O361">
        <v>6136.03</v>
      </c>
      <c r="P361">
        <v>156</v>
      </c>
      <c r="Q361">
        <v>3.6</v>
      </c>
      <c r="R361">
        <v>0</v>
      </c>
      <c r="S361" t="s">
        <v>37</v>
      </c>
      <c r="T361" t="s">
        <v>49</v>
      </c>
      <c r="U361" t="s">
        <v>74</v>
      </c>
      <c r="V361">
        <v>9.93</v>
      </c>
      <c r="W361">
        <v>76.260000000000005</v>
      </c>
      <c r="X361">
        <v>5857</v>
      </c>
      <c r="Y361">
        <v>7583</v>
      </c>
      <c r="Z361">
        <v>3964</v>
      </c>
      <c r="AA361">
        <v>5117</v>
      </c>
      <c r="AB361" t="s">
        <v>79</v>
      </c>
    </row>
    <row r="362" spans="1:28" x14ac:dyDescent="0.3">
      <c r="A362">
        <v>1360</v>
      </c>
      <c r="B362" t="s">
        <v>65</v>
      </c>
      <c r="C362" t="s">
        <v>29</v>
      </c>
      <c r="D362" t="s">
        <v>66</v>
      </c>
      <c r="E362" t="s">
        <v>67</v>
      </c>
      <c r="F362" t="s">
        <v>32</v>
      </c>
      <c r="G362" s="1">
        <v>46109</v>
      </c>
      <c r="H362" t="s">
        <v>71</v>
      </c>
      <c r="I362" t="s">
        <v>80</v>
      </c>
      <c r="J362" t="s">
        <v>82</v>
      </c>
      <c r="K362" t="s">
        <v>73</v>
      </c>
      <c r="L362">
        <v>50</v>
      </c>
      <c r="M362">
        <v>10450</v>
      </c>
      <c r="N362">
        <v>6809.99</v>
      </c>
      <c r="O362">
        <v>3640.01</v>
      </c>
      <c r="P362">
        <v>78</v>
      </c>
      <c r="Q362">
        <v>3.8</v>
      </c>
      <c r="R362">
        <v>5</v>
      </c>
      <c r="S362" t="s">
        <v>37</v>
      </c>
      <c r="T362" t="s">
        <v>38</v>
      </c>
      <c r="U362" t="s">
        <v>39</v>
      </c>
      <c r="V362">
        <v>9.93</v>
      </c>
      <c r="W362">
        <v>76.260000000000005</v>
      </c>
      <c r="X362">
        <v>5760</v>
      </c>
      <c r="Y362">
        <v>8801</v>
      </c>
      <c r="Z362">
        <v>3791</v>
      </c>
      <c r="AA362">
        <v>8729</v>
      </c>
      <c r="AB362" t="s">
        <v>40</v>
      </c>
    </row>
    <row r="363" spans="1:28" x14ac:dyDescent="0.3">
      <c r="A363">
        <v>1361</v>
      </c>
      <c r="B363" t="s">
        <v>65</v>
      </c>
      <c r="C363" t="s">
        <v>29</v>
      </c>
      <c r="D363" t="s">
        <v>66</v>
      </c>
      <c r="E363" t="s">
        <v>67</v>
      </c>
      <c r="F363" t="s">
        <v>32</v>
      </c>
      <c r="G363" s="1">
        <v>46086</v>
      </c>
      <c r="H363" t="s">
        <v>71</v>
      </c>
      <c r="I363" t="s">
        <v>57</v>
      </c>
      <c r="J363" t="s">
        <v>58</v>
      </c>
      <c r="K363" t="s">
        <v>36</v>
      </c>
      <c r="L363">
        <v>55</v>
      </c>
      <c r="M363">
        <v>14080</v>
      </c>
      <c r="N363">
        <v>10128.09</v>
      </c>
      <c r="O363">
        <v>3951.91</v>
      </c>
      <c r="P363">
        <v>128</v>
      </c>
      <c r="Q363">
        <v>4.8</v>
      </c>
      <c r="R363">
        <v>0</v>
      </c>
      <c r="S363" t="s">
        <v>64</v>
      </c>
      <c r="T363" t="s">
        <v>38</v>
      </c>
      <c r="U363" t="s">
        <v>39</v>
      </c>
      <c r="V363">
        <v>9.93</v>
      </c>
      <c r="W363">
        <v>76.260000000000005</v>
      </c>
      <c r="X363">
        <v>12600</v>
      </c>
      <c r="Y363">
        <v>14232</v>
      </c>
      <c r="Z363">
        <v>11426</v>
      </c>
      <c r="AA363">
        <v>12841</v>
      </c>
      <c r="AB363" t="s">
        <v>56</v>
      </c>
    </row>
    <row r="364" spans="1:28" x14ac:dyDescent="0.3">
      <c r="A364">
        <v>1362</v>
      </c>
      <c r="B364" t="s">
        <v>65</v>
      </c>
      <c r="C364" t="s">
        <v>29</v>
      </c>
      <c r="D364" t="s">
        <v>66</v>
      </c>
      <c r="E364" t="s">
        <v>67</v>
      </c>
      <c r="F364" t="s">
        <v>32</v>
      </c>
      <c r="G364" s="1">
        <v>46045</v>
      </c>
      <c r="H364" t="s">
        <v>45</v>
      </c>
      <c r="I364" t="s">
        <v>69</v>
      </c>
      <c r="J364" t="s">
        <v>70</v>
      </c>
      <c r="K364" t="s">
        <v>73</v>
      </c>
      <c r="L364">
        <v>16</v>
      </c>
      <c r="M364">
        <v>4000</v>
      </c>
      <c r="N364">
        <v>2299.17</v>
      </c>
      <c r="O364">
        <v>1700.83</v>
      </c>
      <c r="P364">
        <v>128</v>
      </c>
      <c r="Q364">
        <v>4.5</v>
      </c>
      <c r="R364">
        <v>0</v>
      </c>
      <c r="S364" t="s">
        <v>64</v>
      </c>
      <c r="T364" t="s">
        <v>49</v>
      </c>
      <c r="U364" t="s">
        <v>39</v>
      </c>
      <c r="V364">
        <v>9.93</v>
      </c>
      <c r="W364">
        <v>76.260000000000005</v>
      </c>
      <c r="X364">
        <v>13554</v>
      </c>
      <c r="Y364">
        <v>17945</v>
      </c>
      <c r="Z364">
        <v>12747</v>
      </c>
      <c r="AA364">
        <v>16485</v>
      </c>
      <c r="AB364" t="s">
        <v>79</v>
      </c>
    </row>
    <row r="365" spans="1:28" x14ac:dyDescent="0.3">
      <c r="A365">
        <v>1363</v>
      </c>
      <c r="B365" t="s">
        <v>60</v>
      </c>
      <c r="C365" t="s">
        <v>29</v>
      </c>
      <c r="D365" t="s">
        <v>61</v>
      </c>
      <c r="E365" t="s">
        <v>62</v>
      </c>
      <c r="F365" t="s">
        <v>32</v>
      </c>
      <c r="G365" s="1">
        <v>46147</v>
      </c>
      <c r="H365" t="s">
        <v>54</v>
      </c>
      <c r="I365" t="s">
        <v>80</v>
      </c>
      <c r="J365" t="s">
        <v>82</v>
      </c>
      <c r="K365" t="s">
        <v>36</v>
      </c>
      <c r="L365">
        <v>45</v>
      </c>
      <c r="M365">
        <v>12240</v>
      </c>
      <c r="N365">
        <v>7460.58</v>
      </c>
      <c r="O365">
        <v>4779.42</v>
      </c>
      <c r="P365">
        <v>60</v>
      </c>
      <c r="Q365">
        <v>3.6</v>
      </c>
      <c r="R365">
        <v>5</v>
      </c>
      <c r="S365" t="s">
        <v>64</v>
      </c>
      <c r="T365" t="s">
        <v>76</v>
      </c>
      <c r="U365" t="s">
        <v>39</v>
      </c>
      <c r="V365">
        <v>13.08</v>
      </c>
      <c r="W365">
        <v>80.27</v>
      </c>
      <c r="X365">
        <v>10451</v>
      </c>
      <c r="Y365">
        <v>14832</v>
      </c>
      <c r="Z365">
        <v>9508</v>
      </c>
      <c r="AA365">
        <v>13239</v>
      </c>
      <c r="AB365" t="s">
        <v>79</v>
      </c>
    </row>
    <row r="366" spans="1:28" x14ac:dyDescent="0.3">
      <c r="A366">
        <v>1364</v>
      </c>
      <c r="B366" t="s">
        <v>41</v>
      </c>
      <c r="C366" t="s">
        <v>29</v>
      </c>
      <c r="D366" t="s">
        <v>42</v>
      </c>
      <c r="E366" t="s">
        <v>43</v>
      </c>
      <c r="F366" t="s">
        <v>44</v>
      </c>
      <c r="G366" s="1">
        <v>46100</v>
      </c>
      <c r="H366" t="s">
        <v>71</v>
      </c>
      <c r="I366" t="s">
        <v>80</v>
      </c>
      <c r="J366" t="s">
        <v>82</v>
      </c>
      <c r="K366" t="s">
        <v>36</v>
      </c>
      <c r="L366">
        <v>41</v>
      </c>
      <c r="M366">
        <v>12177</v>
      </c>
      <c r="N366">
        <v>8017.9</v>
      </c>
      <c r="O366">
        <v>4159.1000000000004</v>
      </c>
      <c r="P366">
        <v>128</v>
      </c>
      <c r="Q366">
        <v>4.5999999999999996</v>
      </c>
      <c r="R366">
        <v>10</v>
      </c>
      <c r="S366" t="s">
        <v>37</v>
      </c>
      <c r="T366" t="s">
        <v>38</v>
      </c>
      <c r="U366" t="s">
        <v>55</v>
      </c>
      <c r="V366">
        <v>28.61</v>
      </c>
      <c r="W366">
        <v>77.2</v>
      </c>
      <c r="X366">
        <v>14188</v>
      </c>
      <c r="Y366">
        <v>18378</v>
      </c>
      <c r="Z366">
        <v>12305</v>
      </c>
      <c r="AA366">
        <v>13118</v>
      </c>
      <c r="AB366" t="s">
        <v>56</v>
      </c>
    </row>
    <row r="367" spans="1:28" x14ac:dyDescent="0.3">
      <c r="A367">
        <v>1365</v>
      </c>
      <c r="B367" t="s">
        <v>65</v>
      </c>
      <c r="C367" t="s">
        <v>29</v>
      </c>
      <c r="D367" t="s">
        <v>66</v>
      </c>
      <c r="E367" t="s">
        <v>67</v>
      </c>
      <c r="F367" t="s">
        <v>32</v>
      </c>
      <c r="G367" s="1">
        <v>46031</v>
      </c>
      <c r="H367" t="s">
        <v>45</v>
      </c>
      <c r="I367" t="s">
        <v>34</v>
      </c>
      <c r="J367" t="s">
        <v>35</v>
      </c>
      <c r="K367" t="s">
        <v>36</v>
      </c>
      <c r="L367">
        <v>27</v>
      </c>
      <c r="M367">
        <v>9504</v>
      </c>
      <c r="N367">
        <v>6024.36</v>
      </c>
      <c r="O367">
        <v>3479.64</v>
      </c>
      <c r="P367">
        <v>156</v>
      </c>
      <c r="Q367">
        <v>3.9</v>
      </c>
      <c r="R367">
        <v>5</v>
      </c>
      <c r="S367" t="s">
        <v>37</v>
      </c>
      <c r="T367" t="s">
        <v>38</v>
      </c>
      <c r="U367" t="s">
        <v>74</v>
      </c>
      <c r="V367">
        <v>9.93</v>
      </c>
      <c r="W367">
        <v>76.260000000000005</v>
      </c>
      <c r="X367">
        <v>14617</v>
      </c>
      <c r="Y367">
        <v>19517</v>
      </c>
      <c r="Z367">
        <v>13668</v>
      </c>
      <c r="AA367">
        <v>13739</v>
      </c>
      <c r="AB367" t="s">
        <v>40</v>
      </c>
    </row>
    <row r="368" spans="1:28" x14ac:dyDescent="0.3">
      <c r="A368">
        <v>1366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s="1">
        <v>46203</v>
      </c>
      <c r="H368" t="s">
        <v>68</v>
      </c>
      <c r="I368" t="s">
        <v>80</v>
      </c>
      <c r="J368" t="s">
        <v>82</v>
      </c>
      <c r="K368" t="s">
        <v>36</v>
      </c>
      <c r="L368">
        <v>56</v>
      </c>
      <c r="M368">
        <v>17920</v>
      </c>
      <c r="N368">
        <v>13469.65</v>
      </c>
      <c r="O368">
        <v>4450.3500000000004</v>
      </c>
      <c r="P368">
        <v>160</v>
      </c>
      <c r="Q368">
        <v>5</v>
      </c>
      <c r="R368">
        <v>15</v>
      </c>
      <c r="S368" t="s">
        <v>48</v>
      </c>
      <c r="T368" t="s">
        <v>38</v>
      </c>
      <c r="U368" t="s">
        <v>74</v>
      </c>
      <c r="V368">
        <v>12.97</v>
      </c>
      <c r="W368">
        <v>77.59</v>
      </c>
      <c r="X368">
        <v>13733</v>
      </c>
      <c r="Y368">
        <v>18676</v>
      </c>
      <c r="Z368">
        <v>12529</v>
      </c>
      <c r="AA368">
        <v>12700</v>
      </c>
      <c r="AB368" t="s">
        <v>40</v>
      </c>
    </row>
    <row r="369" spans="1:28" x14ac:dyDescent="0.3">
      <c r="A369">
        <v>1367</v>
      </c>
      <c r="B369" t="s">
        <v>50</v>
      </c>
      <c r="C369" t="s">
        <v>29</v>
      </c>
      <c r="D369" t="s">
        <v>51</v>
      </c>
      <c r="E369" t="s">
        <v>52</v>
      </c>
      <c r="F369" t="s">
        <v>53</v>
      </c>
      <c r="G369" s="1">
        <v>46162</v>
      </c>
      <c r="H369" t="s">
        <v>54</v>
      </c>
      <c r="I369" t="s">
        <v>80</v>
      </c>
      <c r="J369" t="s">
        <v>81</v>
      </c>
      <c r="K369" t="s">
        <v>59</v>
      </c>
      <c r="L369">
        <v>40</v>
      </c>
      <c r="M369">
        <v>13240</v>
      </c>
      <c r="N369">
        <v>8973.41</v>
      </c>
      <c r="O369">
        <v>4266.59</v>
      </c>
      <c r="P369">
        <v>58</v>
      </c>
      <c r="Q369">
        <v>4.3</v>
      </c>
      <c r="R369">
        <v>10</v>
      </c>
      <c r="S369" t="s">
        <v>64</v>
      </c>
      <c r="T369" t="s">
        <v>76</v>
      </c>
      <c r="U369" t="s">
        <v>39</v>
      </c>
      <c r="V369">
        <v>19.07</v>
      </c>
      <c r="W369">
        <v>72.87</v>
      </c>
      <c r="X369">
        <v>7438</v>
      </c>
      <c r="Y369">
        <v>9288</v>
      </c>
      <c r="Z369">
        <v>6306</v>
      </c>
      <c r="AA369">
        <v>7404</v>
      </c>
      <c r="AB369" t="s">
        <v>79</v>
      </c>
    </row>
    <row r="370" spans="1:28" x14ac:dyDescent="0.3">
      <c r="A370">
        <v>1368</v>
      </c>
      <c r="B370" t="s">
        <v>65</v>
      </c>
      <c r="C370" t="s">
        <v>29</v>
      </c>
      <c r="D370" t="s">
        <v>66</v>
      </c>
      <c r="E370" t="s">
        <v>67</v>
      </c>
      <c r="F370" t="s">
        <v>32</v>
      </c>
      <c r="G370" s="1">
        <v>46190</v>
      </c>
      <c r="H370" t="s">
        <v>68</v>
      </c>
      <c r="I370" t="s">
        <v>80</v>
      </c>
      <c r="J370" t="s">
        <v>81</v>
      </c>
      <c r="K370" t="s">
        <v>78</v>
      </c>
      <c r="L370">
        <v>34</v>
      </c>
      <c r="M370">
        <v>10132</v>
      </c>
      <c r="N370">
        <v>7984.72</v>
      </c>
      <c r="O370">
        <v>2147.2800000000002</v>
      </c>
      <c r="P370">
        <v>62</v>
      </c>
      <c r="Q370">
        <v>4</v>
      </c>
      <c r="R370">
        <v>15</v>
      </c>
      <c r="S370" t="s">
        <v>64</v>
      </c>
      <c r="T370" t="s">
        <v>49</v>
      </c>
      <c r="U370" t="s">
        <v>55</v>
      </c>
      <c r="V370">
        <v>9.93</v>
      </c>
      <c r="W370">
        <v>76.260000000000005</v>
      </c>
      <c r="X370">
        <v>14217</v>
      </c>
      <c r="Y370">
        <v>16894</v>
      </c>
      <c r="Z370">
        <v>12459</v>
      </c>
      <c r="AA370">
        <v>13117</v>
      </c>
      <c r="AB370" t="s">
        <v>63</v>
      </c>
    </row>
    <row r="371" spans="1:28" x14ac:dyDescent="0.3">
      <c r="A371">
        <v>1369</v>
      </c>
      <c r="B371" t="s">
        <v>50</v>
      </c>
      <c r="C371" t="s">
        <v>29</v>
      </c>
      <c r="D371" t="s">
        <v>51</v>
      </c>
      <c r="E371" t="s">
        <v>52</v>
      </c>
      <c r="F371" t="s">
        <v>53</v>
      </c>
      <c r="G371" s="1">
        <v>46075</v>
      </c>
      <c r="H371" t="s">
        <v>33</v>
      </c>
      <c r="I371" t="s">
        <v>69</v>
      </c>
      <c r="J371" t="s">
        <v>70</v>
      </c>
      <c r="K371" t="s">
        <v>73</v>
      </c>
      <c r="L371">
        <v>58</v>
      </c>
      <c r="M371">
        <v>15950</v>
      </c>
      <c r="N371">
        <v>9156.0300000000007</v>
      </c>
      <c r="O371">
        <v>6793.97</v>
      </c>
      <c r="P371">
        <v>108</v>
      </c>
      <c r="Q371">
        <v>4.2</v>
      </c>
      <c r="R371">
        <v>10</v>
      </c>
      <c r="S371" t="s">
        <v>48</v>
      </c>
      <c r="T371" t="s">
        <v>49</v>
      </c>
      <c r="U371" t="s">
        <v>74</v>
      </c>
      <c r="V371">
        <v>19.07</v>
      </c>
      <c r="W371">
        <v>72.87</v>
      </c>
      <c r="X371">
        <v>5292</v>
      </c>
      <c r="Y371">
        <v>7574</v>
      </c>
      <c r="Z371">
        <v>4291</v>
      </c>
      <c r="AA371">
        <v>5711</v>
      </c>
      <c r="AB371" t="s">
        <v>40</v>
      </c>
    </row>
    <row r="372" spans="1:28" x14ac:dyDescent="0.3">
      <c r="A372">
        <v>1370</v>
      </c>
      <c r="B372" t="s">
        <v>50</v>
      </c>
      <c r="C372" t="s">
        <v>29</v>
      </c>
      <c r="D372" t="s">
        <v>51</v>
      </c>
      <c r="E372" t="s">
        <v>52</v>
      </c>
      <c r="F372" t="s">
        <v>53</v>
      </c>
      <c r="G372" s="1">
        <v>46024</v>
      </c>
      <c r="H372" t="s">
        <v>45</v>
      </c>
      <c r="I372" t="s">
        <v>80</v>
      </c>
      <c r="J372" t="s">
        <v>82</v>
      </c>
      <c r="K372" t="s">
        <v>36</v>
      </c>
      <c r="L372">
        <v>24</v>
      </c>
      <c r="M372">
        <v>7272</v>
      </c>
      <c r="N372">
        <v>4518.5200000000004</v>
      </c>
      <c r="O372">
        <v>2753.48</v>
      </c>
      <c r="P372">
        <v>98</v>
      </c>
      <c r="Q372">
        <v>4.9000000000000004</v>
      </c>
      <c r="R372">
        <v>0</v>
      </c>
      <c r="S372" t="s">
        <v>37</v>
      </c>
      <c r="T372" t="s">
        <v>49</v>
      </c>
      <c r="U372" t="s">
        <v>39</v>
      </c>
      <c r="V372">
        <v>19.07</v>
      </c>
      <c r="W372">
        <v>72.87</v>
      </c>
      <c r="X372">
        <v>9162</v>
      </c>
      <c r="Y372">
        <v>12034</v>
      </c>
      <c r="Z372">
        <v>7856</v>
      </c>
      <c r="AA372">
        <v>9623</v>
      </c>
      <c r="AB372" t="s">
        <v>63</v>
      </c>
    </row>
    <row r="373" spans="1:28" x14ac:dyDescent="0.3">
      <c r="A373">
        <v>1371</v>
      </c>
      <c r="B373" t="s">
        <v>60</v>
      </c>
      <c r="C373" t="s">
        <v>29</v>
      </c>
      <c r="D373" t="s">
        <v>61</v>
      </c>
      <c r="E373" t="s">
        <v>62</v>
      </c>
      <c r="F373" t="s">
        <v>32</v>
      </c>
      <c r="G373" s="1">
        <v>46132</v>
      </c>
      <c r="H373" t="s">
        <v>75</v>
      </c>
      <c r="I373" t="s">
        <v>57</v>
      </c>
      <c r="J373" t="s">
        <v>83</v>
      </c>
      <c r="K373" t="s">
        <v>78</v>
      </c>
      <c r="L373">
        <v>19</v>
      </c>
      <c r="M373">
        <v>5415</v>
      </c>
      <c r="N373">
        <v>4216.99</v>
      </c>
      <c r="O373">
        <v>1198.01</v>
      </c>
      <c r="P373">
        <v>292</v>
      </c>
      <c r="Q373">
        <v>3.9</v>
      </c>
      <c r="R373">
        <v>5</v>
      </c>
      <c r="S373" t="s">
        <v>64</v>
      </c>
      <c r="T373" t="s">
        <v>76</v>
      </c>
      <c r="U373" t="s">
        <v>55</v>
      </c>
      <c r="V373">
        <v>13.08</v>
      </c>
      <c r="W373">
        <v>80.27</v>
      </c>
      <c r="X373">
        <v>11346</v>
      </c>
      <c r="Y373">
        <v>13204</v>
      </c>
      <c r="Z373">
        <v>10117</v>
      </c>
      <c r="AA373">
        <v>12493</v>
      </c>
      <c r="AB373" t="s">
        <v>56</v>
      </c>
    </row>
    <row r="374" spans="1:28" x14ac:dyDescent="0.3">
      <c r="A374">
        <v>1372</v>
      </c>
      <c r="B374" t="s">
        <v>50</v>
      </c>
      <c r="C374" t="s">
        <v>29</v>
      </c>
      <c r="D374" t="s">
        <v>51</v>
      </c>
      <c r="E374" t="s">
        <v>52</v>
      </c>
      <c r="F374" t="s">
        <v>53</v>
      </c>
      <c r="G374" s="1">
        <v>46100</v>
      </c>
      <c r="H374" t="s">
        <v>71</v>
      </c>
      <c r="I374" t="s">
        <v>34</v>
      </c>
      <c r="J374" t="s">
        <v>35</v>
      </c>
      <c r="K374" t="s">
        <v>78</v>
      </c>
      <c r="L374">
        <v>45</v>
      </c>
      <c r="M374">
        <v>17775</v>
      </c>
      <c r="N374">
        <v>11780.27</v>
      </c>
      <c r="O374">
        <v>5994.73</v>
      </c>
      <c r="P374">
        <v>177</v>
      </c>
      <c r="Q374">
        <v>4.9000000000000004</v>
      </c>
      <c r="R374">
        <v>0</v>
      </c>
      <c r="S374" t="s">
        <v>48</v>
      </c>
      <c r="T374" t="s">
        <v>76</v>
      </c>
      <c r="U374" t="s">
        <v>74</v>
      </c>
      <c r="V374">
        <v>19.07</v>
      </c>
      <c r="W374">
        <v>72.87</v>
      </c>
      <c r="X374">
        <v>7987</v>
      </c>
      <c r="Y374">
        <v>9007</v>
      </c>
      <c r="Z374">
        <v>7116</v>
      </c>
      <c r="AA374">
        <v>7162</v>
      </c>
      <c r="AB374" t="s">
        <v>56</v>
      </c>
    </row>
    <row r="375" spans="1:28" x14ac:dyDescent="0.3">
      <c r="A375">
        <v>1373</v>
      </c>
      <c r="B375" t="s">
        <v>65</v>
      </c>
      <c r="C375" t="s">
        <v>29</v>
      </c>
      <c r="D375" t="s">
        <v>66</v>
      </c>
      <c r="E375" t="s">
        <v>67</v>
      </c>
      <c r="F375" t="s">
        <v>32</v>
      </c>
      <c r="G375" s="1">
        <v>46167</v>
      </c>
      <c r="H375" t="s">
        <v>54</v>
      </c>
      <c r="I375" t="s">
        <v>80</v>
      </c>
      <c r="J375" t="s">
        <v>81</v>
      </c>
      <c r="K375" t="s">
        <v>36</v>
      </c>
      <c r="L375">
        <v>13</v>
      </c>
      <c r="M375">
        <v>4537</v>
      </c>
      <c r="N375">
        <v>3008.48</v>
      </c>
      <c r="O375">
        <v>1528.52</v>
      </c>
      <c r="P375">
        <v>162</v>
      </c>
      <c r="Q375">
        <v>4.7</v>
      </c>
      <c r="R375">
        <v>15</v>
      </c>
      <c r="S375" t="s">
        <v>64</v>
      </c>
      <c r="T375" t="s">
        <v>49</v>
      </c>
      <c r="U375" t="s">
        <v>55</v>
      </c>
      <c r="V375">
        <v>9.93</v>
      </c>
      <c r="W375">
        <v>76.260000000000005</v>
      </c>
      <c r="X375">
        <v>10434</v>
      </c>
      <c r="Y375">
        <v>14406</v>
      </c>
      <c r="Z375">
        <v>9731</v>
      </c>
      <c r="AA375">
        <v>10585</v>
      </c>
      <c r="AB375" t="s">
        <v>56</v>
      </c>
    </row>
    <row r="376" spans="1:28" x14ac:dyDescent="0.3">
      <c r="A376">
        <v>1374</v>
      </c>
      <c r="B376" t="s">
        <v>60</v>
      </c>
      <c r="C376" t="s">
        <v>29</v>
      </c>
      <c r="D376" t="s">
        <v>61</v>
      </c>
      <c r="E376" t="s">
        <v>62</v>
      </c>
      <c r="F376" t="s">
        <v>32</v>
      </c>
      <c r="G376" s="1">
        <v>46172</v>
      </c>
      <c r="H376" t="s">
        <v>54</v>
      </c>
      <c r="I376" t="s">
        <v>57</v>
      </c>
      <c r="J376" t="s">
        <v>58</v>
      </c>
      <c r="K376" t="s">
        <v>36</v>
      </c>
      <c r="L376">
        <v>11</v>
      </c>
      <c r="M376">
        <v>2332</v>
      </c>
      <c r="N376">
        <v>1641.49</v>
      </c>
      <c r="O376">
        <v>690.51</v>
      </c>
      <c r="P376">
        <v>273</v>
      </c>
      <c r="Q376">
        <v>4.5999999999999996</v>
      </c>
      <c r="R376">
        <v>0</v>
      </c>
      <c r="S376" t="s">
        <v>37</v>
      </c>
      <c r="T376" t="s">
        <v>38</v>
      </c>
      <c r="U376" t="s">
        <v>39</v>
      </c>
      <c r="V376">
        <v>13.08</v>
      </c>
      <c r="W376">
        <v>80.27</v>
      </c>
      <c r="X376">
        <v>6467</v>
      </c>
      <c r="Y376">
        <v>8266</v>
      </c>
      <c r="Z376">
        <v>5042</v>
      </c>
      <c r="AA376">
        <v>6439</v>
      </c>
      <c r="AB376" t="s">
        <v>40</v>
      </c>
    </row>
    <row r="377" spans="1:28" x14ac:dyDescent="0.3">
      <c r="A377">
        <v>1375</v>
      </c>
      <c r="B377" t="s">
        <v>65</v>
      </c>
      <c r="C377" t="s">
        <v>29</v>
      </c>
      <c r="D377" t="s">
        <v>66</v>
      </c>
      <c r="E377" t="s">
        <v>67</v>
      </c>
      <c r="F377" t="s">
        <v>32</v>
      </c>
      <c r="G377" s="1">
        <v>46150</v>
      </c>
      <c r="H377" t="s">
        <v>54</v>
      </c>
      <c r="I377" t="s">
        <v>69</v>
      </c>
      <c r="J377" t="s">
        <v>72</v>
      </c>
      <c r="K377" t="s">
        <v>47</v>
      </c>
      <c r="L377">
        <v>47</v>
      </c>
      <c r="M377">
        <v>13630</v>
      </c>
      <c r="N377">
        <v>7809.25</v>
      </c>
      <c r="O377">
        <v>5820.75</v>
      </c>
      <c r="P377">
        <v>54</v>
      </c>
      <c r="Q377">
        <v>3.8</v>
      </c>
      <c r="R377">
        <v>0</v>
      </c>
      <c r="S377" t="s">
        <v>64</v>
      </c>
      <c r="T377" t="s">
        <v>49</v>
      </c>
      <c r="U377" t="s">
        <v>55</v>
      </c>
      <c r="V377">
        <v>9.93</v>
      </c>
      <c r="W377">
        <v>76.260000000000005</v>
      </c>
      <c r="X377">
        <v>12105</v>
      </c>
      <c r="Y377">
        <v>16606</v>
      </c>
      <c r="Z377">
        <v>11571</v>
      </c>
      <c r="AA377">
        <v>12308</v>
      </c>
      <c r="AB377" t="s">
        <v>79</v>
      </c>
    </row>
    <row r="378" spans="1:28" x14ac:dyDescent="0.3">
      <c r="A378">
        <v>1376</v>
      </c>
      <c r="B378" t="s">
        <v>65</v>
      </c>
      <c r="C378" t="s">
        <v>29</v>
      </c>
      <c r="D378" t="s">
        <v>66</v>
      </c>
      <c r="E378" t="s">
        <v>67</v>
      </c>
      <c r="F378" t="s">
        <v>32</v>
      </c>
      <c r="G378" s="1">
        <v>46075</v>
      </c>
      <c r="H378" t="s">
        <v>33</v>
      </c>
      <c r="I378" t="s">
        <v>57</v>
      </c>
      <c r="J378" t="s">
        <v>58</v>
      </c>
      <c r="K378" t="s">
        <v>78</v>
      </c>
      <c r="L378">
        <v>33</v>
      </c>
      <c r="M378">
        <v>6303</v>
      </c>
      <c r="N378">
        <v>4844.53</v>
      </c>
      <c r="O378">
        <v>1458.47</v>
      </c>
      <c r="P378">
        <v>259</v>
      </c>
      <c r="Q378">
        <v>3.6</v>
      </c>
      <c r="R378">
        <v>10</v>
      </c>
      <c r="S378" t="s">
        <v>37</v>
      </c>
      <c r="T378" t="s">
        <v>49</v>
      </c>
      <c r="U378" t="s">
        <v>74</v>
      </c>
      <c r="V378">
        <v>9.93</v>
      </c>
      <c r="W378">
        <v>76.260000000000005</v>
      </c>
      <c r="X378">
        <v>12545</v>
      </c>
      <c r="Y378">
        <v>16751</v>
      </c>
      <c r="Z378">
        <v>10786</v>
      </c>
      <c r="AA378">
        <v>13244</v>
      </c>
      <c r="AB378" t="s">
        <v>63</v>
      </c>
    </row>
    <row r="379" spans="1:28" x14ac:dyDescent="0.3">
      <c r="A379">
        <v>1377</v>
      </c>
      <c r="B379" t="s">
        <v>41</v>
      </c>
      <c r="C379" t="s">
        <v>29</v>
      </c>
      <c r="D379" t="s">
        <v>42</v>
      </c>
      <c r="E379" t="s">
        <v>43</v>
      </c>
      <c r="F379" t="s">
        <v>44</v>
      </c>
      <c r="G379" s="1">
        <v>46132</v>
      </c>
      <c r="H379" t="s">
        <v>75</v>
      </c>
      <c r="I379" t="s">
        <v>80</v>
      </c>
      <c r="J379" t="s">
        <v>82</v>
      </c>
      <c r="K379" t="s">
        <v>59</v>
      </c>
      <c r="L379">
        <v>30</v>
      </c>
      <c r="M379">
        <v>5940</v>
      </c>
      <c r="N379">
        <v>4361.74</v>
      </c>
      <c r="O379">
        <v>1578.26</v>
      </c>
      <c r="P379">
        <v>101</v>
      </c>
      <c r="Q379">
        <v>4.8</v>
      </c>
      <c r="R379">
        <v>10</v>
      </c>
      <c r="S379" t="s">
        <v>37</v>
      </c>
      <c r="T379" t="s">
        <v>76</v>
      </c>
      <c r="U379" t="s">
        <v>74</v>
      </c>
      <c r="V379">
        <v>28.61</v>
      </c>
      <c r="W379">
        <v>77.2</v>
      </c>
      <c r="X379">
        <v>8350</v>
      </c>
      <c r="Y379">
        <v>12070</v>
      </c>
      <c r="Z379">
        <v>6634</v>
      </c>
      <c r="AA379">
        <v>7519</v>
      </c>
      <c r="AB379" t="s">
        <v>63</v>
      </c>
    </row>
    <row r="380" spans="1:28" x14ac:dyDescent="0.3">
      <c r="A380">
        <v>1378</v>
      </c>
      <c r="B380" t="s">
        <v>65</v>
      </c>
      <c r="C380" t="s">
        <v>29</v>
      </c>
      <c r="D380" t="s">
        <v>66</v>
      </c>
      <c r="E380" t="s">
        <v>67</v>
      </c>
      <c r="F380" t="s">
        <v>32</v>
      </c>
      <c r="G380" s="1">
        <v>46195</v>
      </c>
      <c r="H380" t="s">
        <v>68</v>
      </c>
      <c r="I380" t="s">
        <v>80</v>
      </c>
      <c r="J380" t="s">
        <v>81</v>
      </c>
      <c r="K380" t="s">
        <v>36</v>
      </c>
      <c r="L380">
        <v>10</v>
      </c>
      <c r="M380">
        <v>1920</v>
      </c>
      <c r="N380">
        <v>1311.17</v>
      </c>
      <c r="O380">
        <v>608.83000000000004</v>
      </c>
      <c r="P380">
        <v>131</v>
      </c>
      <c r="Q380">
        <v>4.5999999999999996</v>
      </c>
      <c r="R380">
        <v>10</v>
      </c>
      <c r="S380" t="s">
        <v>48</v>
      </c>
      <c r="T380" t="s">
        <v>38</v>
      </c>
      <c r="U380" t="s">
        <v>39</v>
      </c>
      <c r="V380">
        <v>9.93</v>
      </c>
      <c r="W380">
        <v>76.260000000000005</v>
      </c>
      <c r="X380">
        <v>9898</v>
      </c>
      <c r="Y380">
        <v>13080</v>
      </c>
      <c r="Z380">
        <v>9022</v>
      </c>
      <c r="AA380">
        <v>12453</v>
      </c>
      <c r="AB380" t="s">
        <v>79</v>
      </c>
    </row>
    <row r="381" spans="1:28" x14ac:dyDescent="0.3">
      <c r="A381">
        <v>1379</v>
      </c>
      <c r="B381" t="s">
        <v>65</v>
      </c>
      <c r="C381" t="s">
        <v>29</v>
      </c>
      <c r="D381" t="s">
        <v>66</v>
      </c>
      <c r="E381" t="s">
        <v>67</v>
      </c>
      <c r="F381" t="s">
        <v>32</v>
      </c>
      <c r="G381" s="1">
        <v>46077</v>
      </c>
      <c r="H381" t="s">
        <v>33</v>
      </c>
      <c r="I381" t="s">
        <v>80</v>
      </c>
      <c r="J381" t="s">
        <v>81</v>
      </c>
      <c r="K381" t="s">
        <v>73</v>
      </c>
      <c r="L381">
        <v>60</v>
      </c>
      <c r="M381">
        <v>12660</v>
      </c>
      <c r="N381">
        <v>7815.36</v>
      </c>
      <c r="O381">
        <v>4844.6400000000003</v>
      </c>
      <c r="P381">
        <v>173</v>
      </c>
      <c r="Q381">
        <v>4.5</v>
      </c>
      <c r="R381">
        <v>10</v>
      </c>
      <c r="S381" t="s">
        <v>64</v>
      </c>
      <c r="T381" t="s">
        <v>49</v>
      </c>
      <c r="U381" t="s">
        <v>39</v>
      </c>
      <c r="V381">
        <v>9.93</v>
      </c>
      <c r="W381">
        <v>76.260000000000005</v>
      </c>
      <c r="X381">
        <v>8303</v>
      </c>
      <c r="Y381">
        <v>12442</v>
      </c>
      <c r="Z381">
        <v>7013</v>
      </c>
      <c r="AA381">
        <v>9047</v>
      </c>
      <c r="AB381" t="s">
        <v>79</v>
      </c>
    </row>
    <row r="382" spans="1:28" x14ac:dyDescent="0.3">
      <c r="A382">
        <v>1380</v>
      </c>
      <c r="B382" t="s">
        <v>50</v>
      </c>
      <c r="C382" t="s">
        <v>29</v>
      </c>
      <c r="D382" t="s">
        <v>51</v>
      </c>
      <c r="E382" t="s">
        <v>52</v>
      </c>
      <c r="F382" t="s">
        <v>53</v>
      </c>
      <c r="G382" s="1">
        <v>46060</v>
      </c>
      <c r="H382" t="s">
        <v>33</v>
      </c>
      <c r="I382" t="s">
        <v>34</v>
      </c>
      <c r="J382" t="s">
        <v>46</v>
      </c>
      <c r="K382" t="s">
        <v>73</v>
      </c>
      <c r="L382">
        <v>25</v>
      </c>
      <c r="M382">
        <v>9700</v>
      </c>
      <c r="N382">
        <v>6366.52</v>
      </c>
      <c r="O382">
        <v>3333.48</v>
      </c>
      <c r="P382">
        <v>284</v>
      </c>
      <c r="Q382">
        <v>4.2</v>
      </c>
      <c r="R382">
        <v>5</v>
      </c>
      <c r="S382" t="s">
        <v>64</v>
      </c>
      <c r="T382" t="s">
        <v>49</v>
      </c>
      <c r="U382" t="s">
        <v>74</v>
      </c>
      <c r="V382">
        <v>19.07</v>
      </c>
      <c r="W382">
        <v>72.87</v>
      </c>
      <c r="X382">
        <v>5442</v>
      </c>
      <c r="Y382">
        <v>10105</v>
      </c>
      <c r="Z382">
        <v>4491</v>
      </c>
      <c r="AA382">
        <v>5956</v>
      </c>
      <c r="AB382" t="s">
        <v>56</v>
      </c>
    </row>
    <row r="383" spans="1:28" x14ac:dyDescent="0.3">
      <c r="A383">
        <v>1381</v>
      </c>
      <c r="B383" t="s">
        <v>50</v>
      </c>
      <c r="C383" t="s">
        <v>29</v>
      </c>
      <c r="D383" t="s">
        <v>51</v>
      </c>
      <c r="E383" t="s">
        <v>52</v>
      </c>
      <c r="F383" t="s">
        <v>53</v>
      </c>
      <c r="G383" s="1">
        <v>46069</v>
      </c>
      <c r="H383" t="s">
        <v>33</v>
      </c>
      <c r="I383" t="s">
        <v>34</v>
      </c>
      <c r="J383" t="s">
        <v>77</v>
      </c>
      <c r="K383" t="s">
        <v>73</v>
      </c>
      <c r="L383">
        <v>52</v>
      </c>
      <c r="M383">
        <v>18148</v>
      </c>
      <c r="N383">
        <v>10978.47</v>
      </c>
      <c r="O383">
        <v>7169.53</v>
      </c>
      <c r="P383">
        <v>212</v>
      </c>
      <c r="Q383">
        <v>4.5</v>
      </c>
      <c r="R383">
        <v>5</v>
      </c>
      <c r="S383" t="s">
        <v>37</v>
      </c>
      <c r="T383" t="s">
        <v>49</v>
      </c>
      <c r="U383" t="s">
        <v>55</v>
      </c>
      <c r="V383">
        <v>19.07</v>
      </c>
      <c r="W383">
        <v>72.87</v>
      </c>
      <c r="X383">
        <v>5493</v>
      </c>
      <c r="Y383">
        <v>10102</v>
      </c>
      <c r="Z383">
        <v>3621</v>
      </c>
      <c r="AA383">
        <v>6382</v>
      </c>
      <c r="AB383" t="s">
        <v>79</v>
      </c>
    </row>
    <row r="384" spans="1:28" x14ac:dyDescent="0.3">
      <c r="A384">
        <v>1382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s="1">
        <v>46155</v>
      </c>
      <c r="H384" t="s">
        <v>54</v>
      </c>
      <c r="I384" t="s">
        <v>57</v>
      </c>
      <c r="J384" t="s">
        <v>58</v>
      </c>
      <c r="K384" t="s">
        <v>47</v>
      </c>
      <c r="L384">
        <v>5</v>
      </c>
      <c r="M384">
        <v>1665</v>
      </c>
      <c r="N384">
        <v>965.67</v>
      </c>
      <c r="O384">
        <v>699.33</v>
      </c>
      <c r="P384">
        <v>102</v>
      </c>
      <c r="Q384">
        <v>4.5999999999999996</v>
      </c>
      <c r="R384">
        <v>15</v>
      </c>
      <c r="S384" t="s">
        <v>64</v>
      </c>
      <c r="T384" t="s">
        <v>49</v>
      </c>
      <c r="U384" t="s">
        <v>55</v>
      </c>
      <c r="V384">
        <v>12.97</v>
      </c>
      <c r="W384">
        <v>77.59</v>
      </c>
      <c r="X384">
        <v>6448</v>
      </c>
      <c r="Y384">
        <v>10621</v>
      </c>
      <c r="Z384">
        <v>5422</v>
      </c>
      <c r="AA384">
        <v>8537</v>
      </c>
      <c r="AB384" t="s">
        <v>79</v>
      </c>
    </row>
    <row r="385" spans="1:28" x14ac:dyDescent="0.3">
      <c r="A385">
        <v>1383</v>
      </c>
      <c r="B385" t="s">
        <v>41</v>
      </c>
      <c r="C385" t="s">
        <v>29</v>
      </c>
      <c r="D385" t="s">
        <v>42</v>
      </c>
      <c r="E385" t="s">
        <v>43</v>
      </c>
      <c r="F385" t="s">
        <v>44</v>
      </c>
      <c r="G385" s="1">
        <v>46125</v>
      </c>
      <c r="H385" t="s">
        <v>75</v>
      </c>
      <c r="I385" t="s">
        <v>57</v>
      </c>
      <c r="J385" t="s">
        <v>58</v>
      </c>
      <c r="K385" t="s">
        <v>73</v>
      </c>
      <c r="L385">
        <v>59</v>
      </c>
      <c r="M385">
        <v>16815</v>
      </c>
      <c r="N385">
        <v>10668.69</v>
      </c>
      <c r="O385">
        <v>6146.31</v>
      </c>
      <c r="P385">
        <v>153</v>
      </c>
      <c r="Q385">
        <v>4.2</v>
      </c>
      <c r="R385">
        <v>15</v>
      </c>
      <c r="S385" t="s">
        <v>48</v>
      </c>
      <c r="T385" t="s">
        <v>49</v>
      </c>
      <c r="U385" t="s">
        <v>55</v>
      </c>
      <c r="V385">
        <v>28.61</v>
      </c>
      <c r="W385">
        <v>77.2</v>
      </c>
      <c r="X385">
        <v>5455</v>
      </c>
      <c r="Y385">
        <v>7403</v>
      </c>
      <c r="Z385">
        <v>4063</v>
      </c>
      <c r="AA385">
        <v>7034</v>
      </c>
      <c r="AB385" t="s">
        <v>79</v>
      </c>
    </row>
    <row r="386" spans="1:28" x14ac:dyDescent="0.3">
      <c r="A386">
        <v>1384</v>
      </c>
      <c r="B386" t="s">
        <v>50</v>
      </c>
      <c r="C386" t="s">
        <v>29</v>
      </c>
      <c r="D386" t="s">
        <v>51</v>
      </c>
      <c r="E386" t="s">
        <v>52</v>
      </c>
      <c r="F386" t="s">
        <v>53</v>
      </c>
      <c r="G386" s="1">
        <v>46076</v>
      </c>
      <c r="H386" t="s">
        <v>33</v>
      </c>
      <c r="I386" t="s">
        <v>34</v>
      </c>
      <c r="J386" t="s">
        <v>35</v>
      </c>
      <c r="K386" t="s">
        <v>47</v>
      </c>
      <c r="L386">
        <v>28</v>
      </c>
      <c r="M386">
        <v>10500</v>
      </c>
      <c r="N386">
        <v>8270.2199999999993</v>
      </c>
      <c r="O386">
        <v>2229.7800000000002</v>
      </c>
      <c r="P386">
        <v>90</v>
      </c>
      <c r="Q386">
        <v>4.9000000000000004</v>
      </c>
      <c r="R386">
        <v>5</v>
      </c>
      <c r="S386" t="s">
        <v>64</v>
      </c>
      <c r="T386" t="s">
        <v>76</v>
      </c>
      <c r="U386" t="s">
        <v>39</v>
      </c>
      <c r="V386">
        <v>19.07</v>
      </c>
      <c r="W386">
        <v>72.87</v>
      </c>
      <c r="X386">
        <v>7205</v>
      </c>
      <c r="Y386">
        <v>10984</v>
      </c>
      <c r="Z386">
        <v>5939</v>
      </c>
      <c r="AA386">
        <v>9675</v>
      </c>
      <c r="AB386" t="s">
        <v>56</v>
      </c>
    </row>
    <row r="387" spans="1:28" x14ac:dyDescent="0.3">
      <c r="A387">
        <v>1385</v>
      </c>
      <c r="B387" t="s">
        <v>41</v>
      </c>
      <c r="C387" t="s">
        <v>29</v>
      </c>
      <c r="D387" t="s">
        <v>42</v>
      </c>
      <c r="E387" t="s">
        <v>43</v>
      </c>
      <c r="F387" t="s">
        <v>44</v>
      </c>
      <c r="G387" s="1">
        <v>46090</v>
      </c>
      <c r="H387" t="s">
        <v>71</v>
      </c>
      <c r="I387" t="s">
        <v>57</v>
      </c>
      <c r="J387" t="s">
        <v>58</v>
      </c>
      <c r="K387" t="s">
        <v>36</v>
      </c>
      <c r="L387">
        <v>5</v>
      </c>
      <c r="M387">
        <v>1045</v>
      </c>
      <c r="N387">
        <v>826.94</v>
      </c>
      <c r="O387">
        <v>218.06</v>
      </c>
      <c r="P387">
        <v>250</v>
      </c>
      <c r="Q387">
        <v>4.5</v>
      </c>
      <c r="R387">
        <v>5</v>
      </c>
      <c r="S387" t="s">
        <v>37</v>
      </c>
      <c r="T387" t="s">
        <v>38</v>
      </c>
      <c r="U387" t="s">
        <v>55</v>
      </c>
      <c r="V387">
        <v>28.61</v>
      </c>
      <c r="W387">
        <v>77.2</v>
      </c>
      <c r="X387">
        <v>11149</v>
      </c>
      <c r="Y387">
        <v>15998</v>
      </c>
      <c r="Z387">
        <v>10243</v>
      </c>
      <c r="AA387">
        <v>13545</v>
      </c>
      <c r="AB387" t="s">
        <v>63</v>
      </c>
    </row>
    <row r="388" spans="1:28" x14ac:dyDescent="0.3">
      <c r="A388">
        <v>1386</v>
      </c>
      <c r="B388" t="s">
        <v>65</v>
      </c>
      <c r="C388" t="s">
        <v>29</v>
      </c>
      <c r="D388" t="s">
        <v>66</v>
      </c>
      <c r="E388" t="s">
        <v>67</v>
      </c>
      <c r="F388" t="s">
        <v>32</v>
      </c>
      <c r="G388" s="1">
        <v>46090</v>
      </c>
      <c r="H388" t="s">
        <v>71</v>
      </c>
      <c r="I388" t="s">
        <v>69</v>
      </c>
      <c r="J388" t="s">
        <v>72</v>
      </c>
      <c r="K388" t="s">
        <v>59</v>
      </c>
      <c r="L388">
        <v>39</v>
      </c>
      <c r="M388">
        <v>12948</v>
      </c>
      <c r="N388">
        <v>9945.1</v>
      </c>
      <c r="O388">
        <v>3002.9</v>
      </c>
      <c r="P388">
        <v>45</v>
      </c>
      <c r="Q388">
        <v>3.7</v>
      </c>
      <c r="R388">
        <v>10</v>
      </c>
      <c r="S388" t="s">
        <v>64</v>
      </c>
      <c r="T388" t="s">
        <v>38</v>
      </c>
      <c r="U388" t="s">
        <v>55</v>
      </c>
      <c r="V388">
        <v>9.93</v>
      </c>
      <c r="W388">
        <v>76.260000000000005</v>
      </c>
      <c r="X388">
        <v>13077</v>
      </c>
      <c r="Y388">
        <v>16081</v>
      </c>
      <c r="Z388">
        <v>11187</v>
      </c>
      <c r="AA388">
        <v>11841</v>
      </c>
      <c r="AB388" t="s">
        <v>56</v>
      </c>
    </row>
    <row r="389" spans="1:28" x14ac:dyDescent="0.3">
      <c r="A389">
        <v>1387</v>
      </c>
      <c r="B389" t="s">
        <v>60</v>
      </c>
      <c r="C389" t="s">
        <v>29</v>
      </c>
      <c r="D389" t="s">
        <v>61</v>
      </c>
      <c r="E389" t="s">
        <v>62</v>
      </c>
      <c r="F389" t="s">
        <v>32</v>
      </c>
      <c r="G389" s="1">
        <v>46057</v>
      </c>
      <c r="H389" t="s">
        <v>33</v>
      </c>
      <c r="I389" t="s">
        <v>34</v>
      </c>
      <c r="J389" t="s">
        <v>77</v>
      </c>
      <c r="K389" t="s">
        <v>73</v>
      </c>
      <c r="L389">
        <v>21</v>
      </c>
      <c r="M389">
        <v>7308</v>
      </c>
      <c r="N389">
        <v>4509.84</v>
      </c>
      <c r="O389">
        <v>2798.16</v>
      </c>
      <c r="P389">
        <v>200</v>
      </c>
      <c r="Q389">
        <v>4.3</v>
      </c>
      <c r="R389">
        <v>15</v>
      </c>
      <c r="S389" t="s">
        <v>37</v>
      </c>
      <c r="T389" t="s">
        <v>76</v>
      </c>
      <c r="U389" t="s">
        <v>39</v>
      </c>
      <c r="V389">
        <v>13.08</v>
      </c>
      <c r="W389">
        <v>80.27</v>
      </c>
      <c r="X389">
        <v>8229</v>
      </c>
      <c r="Y389">
        <v>12928</v>
      </c>
      <c r="Z389">
        <v>7651</v>
      </c>
      <c r="AA389">
        <v>10967</v>
      </c>
      <c r="AB389" t="s">
        <v>56</v>
      </c>
    </row>
    <row r="390" spans="1:28" x14ac:dyDescent="0.3">
      <c r="A390">
        <v>1388</v>
      </c>
      <c r="B390" t="s">
        <v>65</v>
      </c>
      <c r="C390" t="s">
        <v>29</v>
      </c>
      <c r="D390" t="s">
        <v>66</v>
      </c>
      <c r="E390" t="s">
        <v>67</v>
      </c>
      <c r="F390" t="s">
        <v>32</v>
      </c>
      <c r="G390" s="1">
        <v>46117</v>
      </c>
      <c r="H390" t="s">
        <v>75</v>
      </c>
      <c r="I390" t="s">
        <v>80</v>
      </c>
      <c r="J390" t="s">
        <v>81</v>
      </c>
      <c r="K390" t="s">
        <v>36</v>
      </c>
      <c r="L390">
        <v>39</v>
      </c>
      <c r="M390">
        <v>11076</v>
      </c>
      <c r="N390">
        <v>7003.41</v>
      </c>
      <c r="O390">
        <v>4072.59</v>
      </c>
      <c r="P390">
        <v>194</v>
      </c>
      <c r="Q390">
        <v>4.3</v>
      </c>
      <c r="R390">
        <v>10</v>
      </c>
      <c r="S390" t="s">
        <v>64</v>
      </c>
      <c r="T390" t="s">
        <v>76</v>
      </c>
      <c r="U390" t="s">
        <v>55</v>
      </c>
      <c r="V390">
        <v>9.93</v>
      </c>
      <c r="W390">
        <v>76.260000000000005</v>
      </c>
      <c r="X390">
        <v>6893</v>
      </c>
      <c r="Y390">
        <v>10700</v>
      </c>
      <c r="Z390">
        <v>6324</v>
      </c>
      <c r="AA390">
        <v>9549</v>
      </c>
      <c r="AB390" t="s">
        <v>40</v>
      </c>
    </row>
    <row r="391" spans="1:28" x14ac:dyDescent="0.3">
      <c r="A391">
        <v>1389</v>
      </c>
      <c r="B391" t="s">
        <v>41</v>
      </c>
      <c r="C391" t="s">
        <v>29</v>
      </c>
      <c r="D391" t="s">
        <v>42</v>
      </c>
      <c r="E391" t="s">
        <v>43</v>
      </c>
      <c r="F391" t="s">
        <v>44</v>
      </c>
      <c r="G391" s="1">
        <v>46076</v>
      </c>
      <c r="H391" t="s">
        <v>33</v>
      </c>
      <c r="I391" t="s">
        <v>57</v>
      </c>
      <c r="J391" t="s">
        <v>83</v>
      </c>
      <c r="K391" t="s">
        <v>73</v>
      </c>
      <c r="L391">
        <v>46</v>
      </c>
      <c r="M391">
        <v>12190</v>
      </c>
      <c r="N391">
        <v>6774.96</v>
      </c>
      <c r="O391">
        <v>5415.04</v>
      </c>
      <c r="P391">
        <v>171</v>
      </c>
      <c r="Q391">
        <v>4.9000000000000004</v>
      </c>
      <c r="R391">
        <v>15</v>
      </c>
      <c r="S391" t="s">
        <v>37</v>
      </c>
      <c r="T391" t="s">
        <v>38</v>
      </c>
      <c r="U391" t="s">
        <v>55</v>
      </c>
      <c r="V391">
        <v>28.61</v>
      </c>
      <c r="W391">
        <v>77.2</v>
      </c>
      <c r="X391">
        <v>8976</v>
      </c>
      <c r="Y391">
        <v>11964</v>
      </c>
      <c r="Z391">
        <v>7319</v>
      </c>
      <c r="AA391">
        <v>9624</v>
      </c>
      <c r="AB391" t="s">
        <v>40</v>
      </c>
    </row>
    <row r="392" spans="1:28" x14ac:dyDescent="0.3">
      <c r="A392">
        <v>1390</v>
      </c>
      <c r="B392" t="s">
        <v>65</v>
      </c>
      <c r="C392" t="s">
        <v>29</v>
      </c>
      <c r="D392" t="s">
        <v>66</v>
      </c>
      <c r="E392" t="s">
        <v>67</v>
      </c>
      <c r="F392" t="s">
        <v>32</v>
      </c>
      <c r="G392" s="1">
        <v>46118</v>
      </c>
      <c r="H392" t="s">
        <v>75</v>
      </c>
      <c r="I392" t="s">
        <v>69</v>
      </c>
      <c r="J392" t="s">
        <v>72</v>
      </c>
      <c r="K392" t="s">
        <v>78</v>
      </c>
      <c r="L392">
        <v>14</v>
      </c>
      <c r="M392">
        <v>5754</v>
      </c>
      <c r="N392">
        <v>3822.61</v>
      </c>
      <c r="O392">
        <v>1931.39</v>
      </c>
      <c r="P392">
        <v>75</v>
      </c>
      <c r="Q392">
        <v>4.4000000000000004</v>
      </c>
      <c r="R392">
        <v>15</v>
      </c>
      <c r="S392" t="s">
        <v>64</v>
      </c>
      <c r="T392" t="s">
        <v>38</v>
      </c>
      <c r="U392" t="s">
        <v>39</v>
      </c>
      <c r="V392">
        <v>9.93</v>
      </c>
      <c r="W392">
        <v>76.260000000000005</v>
      </c>
      <c r="X392">
        <v>7120</v>
      </c>
      <c r="Y392">
        <v>10624</v>
      </c>
      <c r="Z392">
        <v>6295</v>
      </c>
      <c r="AA392">
        <v>9221</v>
      </c>
      <c r="AB392" t="s">
        <v>56</v>
      </c>
    </row>
    <row r="393" spans="1:28" x14ac:dyDescent="0.3">
      <c r="A393">
        <v>1391</v>
      </c>
      <c r="B393" t="s">
        <v>50</v>
      </c>
      <c r="C393" t="s">
        <v>29</v>
      </c>
      <c r="D393" t="s">
        <v>51</v>
      </c>
      <c r="E393" t="s">
        <v>52</v>
      </c>
      <c r="F393" t="s">
        <v>53</v>
      </c>
      <c r="G393" s="1">
        <v>46200</v>
      </c>
      <c r="H393" t="s">
        <v>68</v>
      </c>
      <c r="I393" t="s">
        <v>69</v>
      </c>
      <c r="J393" t="s">
        <v>70</v>
      </c>
      <c r="K393" t="s">
        <v>47</v>
      </c>
      <c r="L393">
        <v>19</v>
      </c>
      <c r="M393">
        <v>3667</v>
      </c>
      <c r="N393">
        <v>2172.4499999999998</v>
      </c>
      <c r="O393">
        <v>1494.55</v>
      </c>
      <c r="P393">
        <v>119</v>
      </c>
      <c r="Q393">
        <v>4.3</v>
      </c>
      <c r="R393">
        <v>15</v>
      </c>
      <c r="S393" t="s">
        <v>37</v>
      </c>
      <c r="T393" t="s">
        <v>49</v>
      </c>
      <c r="U393" t="s">
        <v>39</v>
      </c>
      <c r="V393">
        <v>19.07</v>
      </c>
      <c r="W393">
        <v>72.87</v>
      </c>
      <c r="X393">
        <v>8668</v>
      </c>
      <c r="Y393">
        <v>13503</v>
      </c>
      <c r="Z393">
        <v>6809</v>
      </c>
      <c r="AA393">
        <v>9905</v>
      </c>
      <c r="AB393" t="s">
        <v>79</v>
      </c>
    </row>
    <row r="394" spans="1:28" x14ac:dyDescent="0.3">
      <c r="A394">
        <v>1392</v>
      </c>
      <c r="B394" t="s">
        <v>65</v>
      </c>
      <c r="C394" t="s">
        <v>29</v>
      </c>
      <c r="D394" t="s">
        <v>66</v>
      </c>
      <c r="E394" t="s">
        <v>67</v>
      </c>
      <c r="F394" t="s">
        <v>32</v>
      </c>
      <c r="G394" s="1">
        <v>46195</v>
      </c>
      <c r="H394" t="s">
        <v>68</v>
      </c>
      <c r="I394" t="s">
        <v>34</v>
      </c>
      <c r="J394" t="s">
        <v>35</v>
      </c>
      <c r="K394" t="s">
        <v>73</v>
      </c>
      <c r="L394">
        <v>26</v>
      </c>
      <c r="M394">
        <v>9412</v>
      </c>
      <c r="N394">
        <v>7306.98</v>
      </c>
      <c r="O394">
        <v>2105.02</v>
      </c>
      <c r="P394">
        <v>83</v>
      </c>
      <c r="Q394">
        <v>3.8</v>
      </c>
      <c r="R394">
        <v>5</v>
      </c>
      <c r="S394" t="s">
        <v>48</v>
      </c>
      <c r="T394" t="s">
        <v>76</v>
      </c>
      <c r="U394" t="s">
        <v>39</v>
      </c>
      <c r="V394">
        <v>9.93</v>
      </c>
      <c r="W394">
        <v>76.260000000000005</v>
      </c>
      <c r="X394">
        <v>12012</v>
      </c>
      <c r="Y394">
        <v>13548</v>
      </c>
      <c r="Z394">
        <v>10224</v>
      </c>
      <c r="AA394">
        <v>11524</v>
      </c>
      <c r="AB394" t="s">
        <v>56</v>
      </c>
    </row>
    <row r="395" spans="1:28" x14ac:dyDescent="0.3">
      <c r="A395">
        <v>1393</v>
      </c>
      <c r="B395" t="s">
        <v>50</v>
      </c>
      <c r="C395" t="s">
        <v>29</v>
      </c>
      <c r="D395" t="s">
        <v>51</v>
      </c>
      <c r="E395" t="s">
        <v>52</v>
      </c>
      <c r="F395" t="s">
        <v>53</v>
      </c>
      <c r="G395" s="1">
        <v>46102</v>
      </c>
      <c r="H395" t="s">
        <v>71</v>
      </c>
      <c r="I395" t="s">
        <v>34</v>
      </c>
      <c r="J395" t="s">
        <v>46</v>
      </c>
      <c r="K395" t="s">
        <v>78</v>
      </c>
      <c r="L395">
        <v>25</v>
      </c>
      <c r="M395">
        <v>8925</v>
      </c>
      <c r="N395">
        <v>5172.4399999999996</v>
      </c>
      <c r="O395">
        <v>3752.56</v>
      </c>
      <c r="P395">
        <v>271</v>
      </c>
      <c r="Q395">
        <v>4.8</v>
      </c>
      <c r="R395">
        <v>10</v>
      </c>
      <c r="S395" t="s">
        <v>64</v>
      </c>
      <c r="T395" t="s">
        <v>38</v>
      </c>
      <c r="U395" t="s">
        <v>39</v>
      </c>
      <c r="V395">
        <v>19.07</v>
      </c>
      <c r="W395">
        <v>72.87</v>
      </c>
      <c r="X395">
        <v>6938</v>
      </c>
      <c r="Y395">
        <v>11407</v>
      </c>
      <c r="Z395">
        <v>5107</v>
      </c>
      <c r="AA395">
        <v>10734</v>
      </c>
      <c r="AB395" t="s">
        <v>63</v>
      </c>
    </row>
    <row r="396" spans="1:28" x14ac:dyDescent="0.3">
      <c r="A396">
        <v>1394</v>
      </c>
      <c r="B396" t="s">
        <v>60</v>
      </c>
      <c r="C396" t="s">
        <v>29</v>
      </c>
      <c r="D396" t="s">
        <v>61</v>
      </c>
      <c r="E396" t="s">
        <v>62</v>
      </c>
      <c r="F396" t="s">
        <v>32</v>
      </c>
      <c r="G396" s="1">
        <v>46101</v>
      </c>
      <c r="H396" t="s">
        <v>71</v>
      </c>
      <c r="I396" t="s">
        <v>69</v>
      </c>
      <c r="J396" t="s">
        <v>70</v>
      </c>
      <c r="K396" t="s">
        <v>36</v>
      </c>
      <c r="L396">
        <v>14</v>
      </c>
      <c r="M396">
        <v>3864</v>
      </c>
      <c r="N396">
        <v>2198.02</v>
      </c>
      <c r="O396">
        <v>1665.98</v>
      </c>
      <c r="P396">
        <v>195</v>
      </c>
      <c r="Q396">
        <v>4.5</v>
      </c>
      <c r="R396">
        <v>0</v>
      </c>
      <c r="S396" t="s">
        <v>48</v>
      </c>
      <c r="T396" t="s">
        <v>76</v>
      </c>
      <c r="U396" t="s">
        <v>55</v>
      </c>
      <c r="V396">
        <v>13.08</v>
      </c>
      <c r="W396">
        <v>80.27</v>
      </c>
      <c r="X396">
        <v>12023</v>
      </c>
      <c r="Y396">
        <v>16530</v>
      </c>
      <c r="Z396">
        <v>10771</v>
      </c>
      <c r="AA396">
        <v>12351</v>
      </c>
      <c r="AB396" t="s">
        <v>79</v>
      </c>
    </row>
    <row r="397" spans="1:28" x14ac:dyDescent="0.3">
      <c r="A397">
        <v>1395</v>
      </c>
      <c r="B397" t="s">
        <v>50</v>
      </c>
      <c r="C397" t="s">
        <v>29</v>
      </c>
      <c r="D397" t="s">
        <v>51</v>
      </c>
      <c r="E397" t="s">
        <v>52</v>
      </c>
      <c r="F397" t="s">
        <v>53</v>
      </c>
      <c r="G397" s="1">
        <v>46043</v>
      </c>
      <c r="H397" t="s">
        <v>45</v>
      </c>
      <c r="I397" t="s">
        <v>57</v>
      </c>
      <c r="J397" t="s">
        <v>83</v>
      </c>
      <c r="K397" t="s">
        <v>73</v>
      </c>
      <c r="L397">
        <v>12</v>
      </c>
      <c r="M397">
        <v>4116</v>
      </c>
      <c r="N397">
        <v>3000.18</v>
      </c>
      <c r="O397">
        <v>1115.82</v>
      </c>
      <c r="P397">
        <v>137</v>
      </c>
      <c r="Q397">
        <v>4.0999999999999996</v>
      </c>
      <c r="R397">
        <v>5</v>
      </c>
      <c r="S397" t="s">
        <v>48</v>
      </c>
      <c r="T397" t="s">
        <v>38</v>
      </c>
      <c r="U397" t="s">
        <v>74</v>
      </c>
      <c r="V397">
        <v>19.07</v>
      </c>
      <c r="W397">
        <v>72.87</v>
      </c>
      <c r="X397">
        <v>8064</v>
      </c>
      <c r="Y397">
        <v>12017</v>
      </c>
      <c r="Z397">
        <v>6948</v>
      </c>
      <c r="AA397">
        <v>7361</v>
      </c>
      <c r="AB397" t="s">
        <v>63</v>
      </c>
    </row>
    <row r="398" spans="1:28" x14ac:dyDescent="0.3">
      <c r="A398">
        <v>1396</v>
      </c>
      <c r="B398" t="s">
        <v>60</v>
      </c>
      <c r="C398" t="s">
        <v>29</v>
      </c>
      <c r="D398" t="s">
        <v>61</v>
      </c>
      <c r="E398" t="s">
        <v>62</v>
      </c>
      <c r="F398" t="s">
        <v>32</v>
      </c>
      <c r="G398" s="1">
        <v>46068</v>
      </c>
      <c r="H398" t="s">
        <v>33</v>
      </c>
      <c r="I398" t="s">
        <v>69</v>
      </c>
      <c r="J398" t="s">
        <v>72</v>
      </c>
      <c r="K398" t="s">
        <v>36</v>
      </c>
      <c r="L398">
        <v>27</v>
      </c>
      <c r="M398">
        <v>8343</v>
      </c>
      <c r="N398">
        <v>6551.57</v>
      </c>
      <c r="O398">
        <v>1791.43</v>
      </c>
      <c r="P398">
        <v>80</v>
      </c>
      <c r="Q398">
        <v>3.8</v>
      </c>
      <c r="R398">
        <v>10</v>
      </c>
      <c r="S398" t="s">
        <v>64</v>
      </c>
      <c r="T398" t="s">
        <v>76</v>
      </c>
      <c r="U398" t="s">
        <v>55</v>
      </c>
      <c r="V398">
        <v>13.08</v>
      </c>
      <c r="W398">
        <v>80.27</v>
      </c>
      <c r="X398">
        <v>5164</v>
      </c>
      <c r="Y398">
        <v>9379</v>
      </c>
      <c r="Z398">
        <v>4255</v>
      </c>
      <c r="AA398">
        <v>6064</v>
      </c>
      <c r="AB398" t="s">
        <v>56</v>
      </c>
    </row>
    <row r="399" spans="1:28" x14ac:dyDescent="0.3">
      <c r="A399">
        <v>1397</v>
      </c>
      <c r="B399" t="s">
        <v>50</v>
      </c>
      <c r="C399" t="s">
        <v>29</v>
      </c>
      <c r="D399" t="s">
        <v>51</v>
      </c>
      <c r="E399" t="s">
        <v>52</v>
      </c>
      <c r="F399" t="s">
        <v>53</v>
      </c>
      <c r="G399" s="1">
        <v>46169</v>
      </c>
      <c r="H399" t="s">
        <v>54</v>
      </c>
      <c r="I399" t="s">
        <v>69</v>
      </c>
      <c r="J399" t="s">
        <v>70</v>
      </c>
      <c r="K399" t="s">
        <v>36</v>
      </c>
      <c r="L399">
        <v>20</v>
      </c>
      <c r="M399">
        <v>7520</v>
      </c>
      <c r="N399">
        <v>5863.08</v>
      </c>
      <c r="O399">
        <v>1656.92</v>
      </c>
      <c r="P399">
        <v>278</v>
      </c>
      <c r="Q399">
        <v>4.8</v>
      </c>
      <c r="R399">
        <v>10</v>
      </c>
      <c r="S399" t="s">
        <v>37</v>
      </c>
      <c r="T399" t="s">
        <v>38</v>
      </c>
      <c r="U399" t="s">
        <v>74</v>
      </c>
      <c r="V399">
        <v>19.07</v>
      </c>
      <c r="W399">
        <v>72.87</v>
      </c>
      <c r="X399">
        <v>8085</v>
      </c>
      <c r="Y399">
        <v>10809</v>
      </c>
      <c r="Z399">
        <v>7162</v>
      </c>
      <c r="AA399">
        <v>10760</v>
      </c>
      <c r="AB399" t="s">
        <v>79</v>
      </c>
    </row>
    <row r="400" spans="1:28" x14ac:dyDescent="0.3">
      <c r="A400">
        <v>1398</v>
      </c>
      <c r="B400" t="s">
        <v>65</v>
      </c>
      <c r="C400" t="s">
        <v>29</v>
      </c>
      <c r="D400" t="s">
        <v>66</v>
      </c>
      <c r="E400" t="s">
        <v>67</v>
      </c>
      <c r="F400" t="s">
        <v>32</v>
      </c>
      <c r="G400" s="1">
        <v>46069</v>
      </c>
      <c r="H400" t="s">
        <v>33</v>
      </c>
      <c r="I400" t="s">
        <v>69</v>
      </c>
      <c r="J400" t="s">
        <v>72</v>
      </c>
      <c r="K400" t="s">
        <v>73</v>
      </c>
      <c r="L400">
        <v>58</v>
      </c>
      <c r="M400">
        <v>22620</v>
      </c>
      <c r="N400">
        <v>15440.57</v>
      </c>
      <c r="O400">
        <v>7179.43</v>
      </c>
      <c r="P400">
        <v>66</v>
      </c>
      <c r="Q400">
        <v>3.8</v>
      </c>
      <c r="R400">
        <v>10</v>
      </c>
      <c r="S400" t="s">
        <v>48</v>
      </c>
      <c r="T400" t="s">
        <v>49</v>
      </c>
      <c r="U400" t="s">
        <v>74</v>
      </c>
      <c r="V400">
        <v>9.93</v>
      </c>
      <c r="W400">
        <v>76.260000000000005</v>
      </c>
      <c r="X400">
        <v>8571</v>
      </c>
      <c r="Y400">
        <v>12937</v>
      </c>
      <c r="Z400">
        <v>7684</v>
      </c>
      <c r="AA400">
        <v>11875</v>
      </c>
      <c r="AB400" t="s">
        <v>56</v>
      </c>
    </row>
    <row r="401" spans="1:28" x14ac:dyDescent="0.3">
      <c r="A401">
        <v>1399</v>
      </c>
      <c r="B401" t="s">
        <v>50</v>
      </c>
      <c r="C401" t="s">
        <v>29</v>
      </c>
      <c r="D401" t="s">
        <v>51</v>
      </c>
      <c r="E401" t="s">
        <v>52</v>
      </c>
      <c r="F401" t="s">
        <v>53</v>
      </c>
      <c r="G401" s="1">
        <v>46201</v>
      </c>
      <c r="H401" t="s">
        <v>68</v>
      </c>
      <c r="I401" t="s">
        <v>34</v>
      </c>
      <c r="J401" t="s">
        <v>46</v>
      </c>
      <c r="K401" t="s">
        <v>73</v>
      </c>
      <c r="L401">
        <v>52</v>
      </c>
      <c r="M401">
        <v>20436</v>
      </c>
      <c r="N401">
        <v>16164.45</v>
      </c>
      <c r="O401">
        <v>4271.55</v>
      </c>
      <c r="P401">
        <v>114</v>
      </c>
      <c r="Q401">
        <v>4.4000000000000004</v>
      </c>
      <c r="R401">
        <v>15</v>
      </c>
      <c r="S401" t="s">
        <v>64</v>
      </c>
      <c r="T401" t="s">
        <v>76</v>
      </c>
      <c r="U401" t="s">
        <v>74</v>
      </c>
      <c r="V401">
        <v>19.07</v>
      </c>
      <c r="W401">
        <v>72.87</v>
      </c>
      <c r="X401">
        <v>11121</v>
      </c>
      <c r="Y401">
        <v>12484</v>
      </c>
      <c r="Z401">
        <v>9446</v>
      </c>
      <c r="AA401">
        <v>11398</v>
      </c>
      <c r="AB401" t="s">
        <v>63</v>
      </c>
    </row>
    <row r="402" spans="1:28" x14ac:dyDescent="0.3">
      <c r="A402">
        <v>1400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s="1">
        <v>46196</v>
      </c>
      <c r="H402" t="s">
        <v>68</v>
      </c>
      <c r="I402" t="s">
        <v>34</v>
      </c>
      <c r="J402" t="s">
        <v>46</v>
      </c>
      <c r="K402" t="s">
        <v>78</v>
      </c>
      <c r="L402">
        <v>7</v>
      </c>
      <c r="M402">
        <v>2891</v>
      </c>
      <c r="N402">
        <v>2308.63</v>
      </c>
      <c r="O402">
        <v>582.37</v>
      </c>
      <c r="P402">
        <v>78</v>
      </c>
      <c r="Q402">
        <v>3.7</v>
      </c>
      <c r="R402">
        <v>10</v>
      </c>
      <c r="S402" t="s">
        <v>37</v>
      </c>
      <c r="T402" t="s">
        <v>76</v>
      </c>
      <c r="U402" t="s">
        <v>74</v>
      </c>
      <c r="V402">
        <v>12.97</v>
      </c>
      <c r="W402">
        <v>77.59</v>
      </c>
      <c r="X402">
        <v>12221</v>
      </c>
      <c r="Y402">
        <v>14670</v>
      </c>
      <c r="Z402">
        <v>10595</v>
      </c>
      <c r="AA402">
        <v>14571</v>
      </c>
      <c r="AB402" t="s">
        <v>79</v>
      </c>
    </row>
    <row r="403" spans="1:28" x14ac:dyDescent="0.3">
      <c r="A403">
        <v>1401</v>
      </c>
      <c r="B403" t="s">
        <v>60</v>
      </c>
      <c r="C403" t="s">
        <v>29</v>
      </c>
      <c r="D403" t="s">
        <v>61</v>
      </c>
      <c r="E403" t="s">
        <v>62</v>
      </c>
      <c r="F403" t="s">
        <v>32</v>
      </c>
      <c r="G403" s="1">
        <v>46119</v>
      </c>
      <c r="H403" t="s">
        <v>75</v>
      </c>
      <c r="I403" t="s">
        <v>69</v>
      </c>
      <c r="J403" t="s">
        <v>72</v>
      </c>
      <c r="K403" t="s">
        <v>36</v>
      </c>
      <c r="L403">
        <v>14</v>
      </c>
      <c r="M403">
        <v>4074</v>
      </c>
      <c r="N403">
        <v>2729.47</v>
      </c>
      <c r="O403">
        <v>1344.53</v>
      </c>
      <c r="P403">
        <v>184</v>
      </c>
      <c r="Q403">
        <v>4</v>
      </c>
      <c r="R403">
        <v>5</v>
      </c>
      <c r="S403" t="s">
        <v>37</v>
      </c>
      <c r="T403" t="s">
        <v>49</v>
      </c>
      <c r="U403" t="s">
        <v>39</v>
      </c>
      <c r="V403">
        <v>13.08</v>
      </c>
      <c r="W403">
        <v>80.27</v>
      </c>
      <c r="X403">
        <v>10856</v>
      </c>
      <c r="Y403">
        <v>14448</v>
      </c>
      <c r="Z403">
        <v>9638</v>
      </c>
      <c r="AA403">
        <v>10415</v>
      </c>
      <c r="AB403" t="s">
        <v>79</v>
      </c>
    </row>
    <row r="404" spans="1:28" x14ac:dyDescent="0.3">
      <c r="A404">
        <v>1402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s="1">
        <v>46156</v>
      </c>
      <c r="H404" t="s">
        <v>54</v>
      </c>
      <c r="I404" t="s">
        <v>57</v>
      </c>
      <c r="J404" t="s">
        <v>58</v>
      </c>
      <c r="K404" t="s">
        <v>47</v>
      </c>
      <c r="L404">
        <v>55</v>
      </c>
      <c r="M404">
        <v>12980</v>
      </c>
      <c r="N404">
        <v>9659.59</v>
      </c>
      <c r="O404">
        <v>3320.41</v>
      </c>
      <c r="P404">
        <v>215</v>
      </c>
      <c r="Q404">
        <v>4.4000000000000004</v>
      </c>
      <c r="R404">
        <v>10</v>
      </c>
      <c r="S404" t="s">
        <v>37</v>
      </c>
      <c r="T404" t="s">
        <v>76</v>
      </c>
      <c r="U404" t="s">
        <v>39</v>
      </c>
      <c r="V404">
        <v>12.97</v>
      </c>
      <c r="W404">
        <v>77.59</v>
      </c>
      <c r="X404">
        <v>13920</v>
      </c>
      <c r="Y404">
        <v>16564</v>
      </c>
      <c r="Z404">
        <v>12037</v>
      </c>
      <c r="AA404">
        <v>12945</v>
      </c>
      <c r="AB404" t="s">
        <v>40</v>
      </c>
    </row>
    <row r="405" spans="1:28" x14ac:dyDescent="0.3">
      <c r="A405">
        <v>1403</v>
      </c>
      <c r="B405" t="s">
        <v>65</v>
      </c>
      <c r="C405" t="s">
        <v>29</v>
      </c>
      <c r="D405" t="s">
        <v>66</v>
      </c>
      <c r="E405" t="s">
        <v>67</v>
      </c>
      <c r="F405" t="s">
        <v>32</v>
      </c>
      <c r="G405" s="1">
        <v>46147</v>
      </c>
      <c r="H405" t="s">
        <v>54</v>
      </c>
      <c r="I405" t="s">
        <v>80</v>
      </c>
      <c r="J405" t="s">
        <v>82</v>
      </c>
      <c r="K405" t="s">
        <v>36</v>
      </c>
      <c r="L405">
        <v>32</v>
      </c>
      <c r="M405">
        <v>7936</v>
      </c>
      <c r="N405">
        <v>6184.92</v>
      </c>
      <c r="O405">
        <v>1751.08</v>
      </c>
      <c r="P405">
        <v>168</v>
      </c>
      <c r="Q405">
        <v>3.5</v>
      </c>
      <c r="R405">
        <v>5</v>
      </c>
      <c r="S405" t="s">
        <v>64</v>
      </c>
      <c r="T405" t="s">
        <v>76</v>
      </c>
      <c r="U405" t="s">
        <v>39</v>
      </c>
      <c r="V405">
        <v>9.93</v>
      </c>
      <c r="W405">
        <v>76.260000000000005</v>
      </c>
      <c r="X405">
        <v>9770</v>
      </c>
      <c r="Y405">
        <v>14674</v>
      </c>
      <c r="Z405">
        <v>8453</v>
      </c>
      <c r="AA405">
        <v>10226</v>
      </c>
      <c r="AB405" t="s">
        <v>63</v>
      </c>
    </row>
    <row r="406" spans="1:28" x14ac:dyDescent="0.3">
      <c r="A406">
        <v>1404</v>
      </c>
      <c r="B406" t="s">
        <v>65</v>
      </c>
      <c r="C406" t="s">
        <v>29</v>
      </c>
      <c r="D406" t="s">
        <v>66</v>
      </c>
      <c r="E406" t="s">
        <v>67</v>
      </c>
      <c r="F406" t="s">
        <v>32</v>
      </c>
      <c r="G406" s="1">
        <v>46034</v>
      </c>
      <c r="H406" t="s">
        <v>45</v>
      </c>
      <c r="I406" t="s">
        <v>34</v>
      </c>
      <c r="J406" t="s">
        <v>46</v>
      </c>
      <c r="K406" t="s">
        <v>59</v>
      </c>
      <c r="L406">
        <v>30</v>
      </c>
      <c r="M406">
        <v>8250</v>
      </c>
      <c r="N406">
        <v>5242.59</v>
      </c>
      <c r="O406">
        <v>3007.41</v>
      </c>
      <c r="P406">
        <v>266</v>
      </c>
      <c r="Q406">
        <v>3.5</v>
      </c>
      <c r="R406">
        <v>15</v>
      </c>
      <c r="S406" t="s">
        <v>64</v>
      </c>
      <c r="T406" t="s">
        <v>76</v>
      </c>
      <c r="U406" t="s">
        <v>74</v>
      </c>
      <c r="V406">
        <v>9.93</v>
      </c>
      <c r="W406">
        <v>76.260000000000005</v>
      </c>
      <c r="X406">
        <v>5507</v>
      </c>
      <c r="Y406">
        <v>7354</v>
      </c>
      <c r="Z406">
        <v>4976</v>
      </c>
      <c r="AA406">
        <v>6477</v>
      </c>
      <c r="AB406" t="s">
        <v>63</v>
      </c>
    </row>
    <row r="407" spans="1:28" x14ac:dyDescent="0.3">
      <c r="A407">
        <v>1405</v>
      </c>
      <c r="B407" t="s">
        <v>41</v>
      </c>
      <c r="C407" t="s">
        <v>29</v>
      </c>
      <c r="D407" t="s">
        <v>42</v>
      </c>
      <c r="E407" t="s">
        <v>43</v>
      </c>
      <c r="F407" t="s">
        <v>44</v>
      </c>
      <c r="G407" s="1">
        <v>46093</v>
      </c>
      <c r="H407" t="s">
        <v>71</v>
      </c>
      <c r="I407" t="s">
        <v>80</v>
      </c>
      <c r="J407" t="s">
        <v>82</v>
      </c>
      <c r="K407" t="s">
        <v>59</v>
      </c>
      <c r="L407">
        <v>47</v>
      </c>
      <c r="M407">
        <v>11562</v>
      </c>
      <c r="N407">
        <v>7990.94</v>
      </c>
      <c r="O407">
        <v>3571.06</v>
      </c>
      <c r="P407">
        <v>189</v>
      </c>
      <c r="Q407">
        <v>3.6</v>
      </c>
      <c r="R407">
        <v>0</v>
      </c>
      <c r="S407" t="s">
        <v>48</v>
      </c>
      <c r="T407" t="s">
        <v>76</v>
      </c>
      <c r="U407" t="s">
        <v>74</v>
      </c>
      <c r="V407">
        <v>28.61</v>
      </c>
      <c r="W407">
        <v>77.2</v>
      </c>
      <c r="X407">
        <v>6848</v>
      </c>
      <c r="Y407">
        <v>10430</v>
      </c>
      <c r="Z407">
        <v>5453</v>
      </c>
      <c r="AA407">
        <v>9656</v>
      </c>
      <c r="AB407" t="s">
        <v>56</v>
      </c>
    </row>
    <row r="408" spans="1:28" x14ac:dyDescent="0.3">
      <c r="A408">
        <v>1406</v>
      </c>
      <c r="B408" t="s">
        <v>41</v>
      </c>
      <c r="C408" t="s">
        <v>29</v>
      </c>
      <c r="D408" t="s">
        <v>42</v>
      </c>
      <c r="E408" t="s">
        <v>43</v>
      </c>
      <c r="F408" t="s">
        <v>44</v>
      </c>
      <c r="G408" s="1">
        <v>46072</v>
      </c>
      <c r="H408" t="s">
        <v>33</v>
      </c>
      <c r="I408" t="s">
        <v>34</v>
      </c>
      <c r="J408" t="s">
        <v>46</v>
      </c>
      <c r="K408" t="s">
        <v>78</v>
      </c>
      <c r="L408">
        <v>54</v>
      </c>
      <c r="M408">
        <v>20412</v>
      </c>
      <c r="N408">
        <v>13543.19</v>
      </c>
      <c r="O408">
        <v>6868.81</v>
      </c>
      <c r="P408">
        <v>237</v>
      </c>
      <c r="Q408">
        <v>4.2</v>
      </c>
      <c r="R408">
        <v>5</v>
      </c>
      <c r="S408" t="s">
        <v>37</v>
      </c>
      <c r="T408" t="s">
        <v>49</v>
      </c>
      <c r="U408" t="s">
        <v>39</v>
      </c>
      <c r="V408">
        <v>28.61</v>
      </c>
      <c r="W408">
        <v>77.2</v>
      </c>
      <c r="X408">
        <v>13825</v>
      </c>
      <c r="Y408">
        <v>18316</v>
      </c>
      <c r="Z408">
        <v>12736</v>
      </c>
      <c r="AA408">
        <v>14898</v>
      </c>
      <c r="AB408" t="s">
        <v>56</v>
      </c>
    </row>
    <row r="409" spans="1:28" x14ac:dyDescent="0.3">
      <c r="A409">
        <v>1407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s="1">
        <v>46031</v>
      </c>
      <c r="H409" t="s">
        <v>45</v>
      </c>
      <c r="I409" t="s">
        <v>57</v>
      </c>
      <c r="J409" t="s">
        <v>83</v>
      </c>
      <c r="K409" t="s">
        <v>59</v>
      </c>
      <c r="L409">
        <v>54</v>
      </c>
      <c r="M409">
        <v>22302</v>
      </c>
      <c r="N409">
        <v>12646.13</v>
      </c>
      <c r="O409">
        <v>9655.8700000000008</v>
      </c>
      <c r="P409">
        <v>295</v>
      </c>
      <c r="Q409">
        <v>4.3</v>
      </c>
      <c r="R409">
        <v>15</v>
      </c>
      <c r="S409" t="s">
        <v>48</v>
      </c>
      <c r="T409" t="s">
        <v>76</v>
      </c>
      <c r="U409" t="s">
        <v>74</v>
      </c>
      <c r="V409">
        <v>12.97</v>
      </c>
      <c r="W409">
        <v>77.59</v>
      </c>
      <c r="X409">
        <v>10396</v>
      </c>
      <c r="Y409">
        <v>13391</v>
      </c>
      <c r="Z409">
        <v>9225</v>
      </c>
      <c r="AA409">
        <v>10912</v>
      </c>
      <c r="AB409" t="s">
        <v>79</v>
      </c>
    </row>
    <row r="410" spans="1:28" x14ac:dyDescent="0.3">
      <c r="A410">
        <v>1408</v>
      </c>
      <c r="B410" t="s">
        <v>50</v>
      </c>
      <c r="C410" t="s">
        <v>29</v>
      </c>
      <c r="D410" t="s">
        <v>51</v>
      </c>
      <c r="E410" t="s">
        <v>52</v>
      </c>
      <c r="F410" t="s">
        <v>53</v>
      </c>
      <c r="G410" s="1">
        <v>46044</v>
      </c>
      <c r="H410" t="s">
        <v>45</v>
      </c>
      <c r="I410" t="s">
        <v>69</v>
      </c>
      <c r="J410" t="s">
        <v>70</v>
      </c>
      <c r="K410" t="s">
        <v>36</v>
      </c>
      <c r="L410">
        <v>49</v>
      </c>
      <c r="M410">
        <v>8967</v>
      </c>
      <c r="N410">
        <v>6221.06</v>
      </c>
      <c r="O410">
        <v>2745.94</v>
      </c>
      <c r="P410">
        <v>109</v>
      </c>
      <c r="Q410">
        <v>3.6</v>
      </c>
      <c r="R410">
        <v>15</v>
      </c>
      <c r="S410" t="s">
        <v>48</v>
      </c>
      <c r="T410" t="s">
        <v>49</v>
      </c>
      <c r="U410" t="s">
        <v>39</v>
      </c>
      <c r="V410">
        <v>19.07</v>
      </c>
      <c r="W410">
        <v>72.87</v>
      </c>
      <c r="X410">
        <v>6747</v>
      </c>
      <c r="Y410">
        <v>9261</v>
      </c>
      <c r="Z410">
        <v>4858</v>
      </c>
      <c r="AA410">
        <v>6093</v>
      </c>
      <c r="AB410" t="s">
        <v>63</v>
      </c>
    </row>
    <row r="411" spans="1:28" x14ac:dyDescent="0.3">
      <c r="A411">
        <v>1409</v>
      </c>
      <c r="B411" t="s">
        <v>41</v>
      </c>
      <c r="C411" t="s">
        <v>29</v>
      </c>
      <c r="D411" t="s">
        <v>42</v>
      </c>
      <c r="E411" t="s">
        <v>43</v>
      </c>
      <c r="F411" t="s">
        <v>44</v>
      </c>
      <c r="G411" s="1">
        <v>46096</v>
      </c>
      <c r="H411" t="s">
        <v>71</v>
      </c>
      <c r="I411" t="s">
        <v>80</v>
      </c>
      <c r="J411" t="s">
        <v>81</v>
      </c>
      <c r="K411" t="s">
        <v>73</v>
      </c>
      <c r="L411">
        <v>12</v>
      </c>
      <c r="M411">
        <v>3312</v>
      </c>
      <c r="N411">
        <v>2243.23</v>
      </c>
      <c r="O411">
        <v>1068.77</v>
      </c>
      <c r="P411">
        <v>148</v>
      </c>
      <c r="Q411">
        <v>3.7</v>
      </c>
      <c r="R411">
        <v>5</v>
      </c>
      <c r="S411" t="s">
        <v>37</v>
      </c>
      <c r="T411" t="s">
        <v>49</v>
      </c>
      <c r="U411" t="s">
        <v>74</v>
      </c>
      <c r="V411">
        <v>28.61</v>
      </c>
      <c r="W411">
        <v>77.2</v>
      </c>
      <c r="X411">
        <v>13268</v>
      </c>
      <c r="Y411">
        <v>16953</v>
      </c>
      <c r="Z411">
        <v>11521</v>
      </c>
      <c r="AA411">
        <v>12604</v>
      </c>
      <c r="AB411" t="s">
        <v>40</v>
      </c>
    </row>
    <row r="412" spans="1:28" x14ac:dyDescent="0.3">
      <c r="A412">
        <v>1410</v>
      </c>
      <c r="B412" t="s">
        <v>60</v>
      </c>
      <c r="C412" t="s">
        <v>29</v>
      </c>
      <c r="D412" t="s">
        <v>61</v>
      </c>
      <c r="E412" t="s">
        <v>62</v>
      </c>
      <c r="F412" t="s">
        <v>32</v>
      </c>
      <c r="G412" s="1">
        <v>46179</v>
      </c>
      <c r="H412" t="s">
        <v>68</v>
      </c>
      <c r="I412" t="s">
        <v>57</v>
      </c>
      <c r="J412" t="s">
        <v>83</v>
      </c>
      <c r="K412" t="s">
        <v>73</v>
      </c>
      <c r="L412">
        <v>8</v>
      </c>
      <c r="M412">
        <v>3208</v>
      </c>
      <c r="N412">
        <v>1898.29</v>
      </c>
      <c r="O412">
        <v>1309.71</v>
      </c>
      <c r="P412">
        <v>254</v>
      </c>
      <c r="Q412">
        <v>3.7</v>
      </c>
      <c r="R412">
        <v>15</v>
      </c>
      <c r="S412" t="s">
        <v>64</v>
      </c>
      <c r="T412" t="s">
        <v>38</v>
      </c>
      <c r="U412" t="s">
        <v>39</v>
      </c>
      <c r="V412">
        <v>13.08</v>
      </c>
      <c r="W412">
        <v>80.27</v>
      </c>
      <c r="X412">
        <v>9175</v>
      </c>
      <c r="Y412">
        <v>12546</v>
      </c>
      <c r="Z412">
        <v>8346</v>
      </c>
      <c r="AA412">
        <v>9109</v>
      </c>
      <c r="AB412" t="s">
        <v>56</v>
      </c>
    </row>
    <row r="413" spans="1:28" x14ac:dyDescent="0.3">
      <c r="A413">
        <v>1411</v>
      </c>
      <c r="B413" t="s">
        <v>65</v>
      </c>
      <c r="C413" t="s">
        <v>29</v>
      </c>
      <c r="D413" t="s">
        <v>66</v>
      </c>
      <c r="E413" t="s">
        <v>67</v>
      </c>
      <c r="F413" t="s">
        <v>32</v>
      </c>
      <c r="G413" s="1">
        <v>46093</v>
      </c>
      <c r="H413" t="s">
        <v>71</v>
      </c>
      <c r="I413" t="s">
        <v>57</v>
      </c>
      <c r="J413" t="s">
        <v>58</v>
      </c>
      <c r="K413" t="s">
        <v>73</v>
      </c>
      <c r="L413">
        <v>36</v>
      </c>
      <c r="M413">
        <v>9180</v>
      </c>
      <c r="N413">
        <v>5276.78</v>
      </c>
      <c r="O413">
        <v>3903.22</v>
      </c>
      <c r="P413">
        <v>202</v>
      </c>
      <c r="Q413">
        <v>3.7</v>
      </c>
      <c r="R413">
        <v>15</v>
      </c>
      <c r="S413" t="s">
        <v>37</v>
      </c>
      <c r="T413" t="s">
        <v>38</v>
      </c>
      <c r="U413" t="s">
        <v>74</v>
      </c>
      <c r="V413">
        <v>9.93</v>
      </c>
      <c r="W413">
        <v>76.260000000000005</v>
      </c>
      <c r="X413">
        <v>8284</v>
      </c>
      <c r="Y413">
        <v>11398</v>
      </c>
      <c r="Z413">
        <v>6741</v>
      </c>
      <c r="AA413">
        <v>7705</v>
      </c>
      <c r="AB413" t="s">
        <v>56</v>
      </c>
    </row>
    <row r="414" spans="1:28" x14ac:dyDescent="0.3">
      <c r="A414">
        <v>1412</v>
      </c>
      <c r="B414" t="s">
        <v>65</v>
      </c>
      <c r="C414" t="s">
        <v>29</v>
      </c>
      <c r="D414" t="s">
        <v>66</v>
      </c>
      <c r="E414" t="s">
        <v>67</v>
      </c>
      <c r="F414" t="s">
        <v>32</v>
      </c>
      <c r="G414" s="1">
        <v>46024</v>
      </c>
      <c r="H414" t="s">
        <v>45</v>
      </c>
      <c r="I414" t="s">
        <v>69</v>
      </c>
      <c r="J414" t="s">
        <v>70</v>
      </c>
      <c r="K414" t="s">
        <v>78</v>
      </c>
      <c r="L414">
        <v>20</v>
      </c>
      <c r="M414">
        <v>6380</v>
      </c>
      <c r="N414">
        <v>4838.67</v>
      </c>
      <c r="O414">
        <v>1541.33</v>
      </c>
      <c r="P414">
        <v>281</v>
      </c>
      <c r="Q414">
        <v>4.5999999999999996</v>
      </c>
      <c r="R414">
        <v>0</v>
      </c>
      <c r="S414" t="s">
        <v>37</v>
      </c>
      <c r="T414" t="s">
        <v>38</v>
      </c>
      <c r="U414" t="s">
        <v>39</v>
      </c>
      <c r="V414">
        <v>9.93</v>
      </c>
      <c r="W414">
        <v>76.260000000000005</v>
      </c>
      <c r="X414">
        <v>14577</v>
      </c>
      <c r="Y414">
        <v>18768</v>
      </c>
      <c r="Z414">
        <v>13183</v>
      </c>
      <c r="AA414">
        <v>15501</v>
      </c>
      <c r="AB414" t="s">
        <v>40</v>
      </c>
    </row>
    <row r="415" spans="1:28" x14ac:dyDescent="0.3">
      <c r="A415">
        <v>1413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s="1">
        <v>46120</v>
      </c>
      <c r="H415" t="s">
        <v>75</v>
      </c>
      <c r="I415" t="s">
        <v>34</v>
      </c>
      <c r="J415" t="s">
        <v>77</v>
      </c>
      <c r="K415" t="s">
        <v>78</v>
      </c>
      <c r="L415">
        <v>33</v>
      </c>
      <c r="M415">
        <v>9009</v>
      </c>
      <c r="N415">
        <v>5950.07</v>
      </c>
      <c r="O415">
        <v>3058.93</v>
      </c>
      <c r="P415">
        <v>269</v>
      </c>
      <c r="Q415">
        <v>3.7</v>
      </c>
      <c r="R415">
        <v>10</v>
      </c>
      <c r="S415" t="s">
        <v>37</v>
      </c>
      <c r="T415" t="s">
        <v>38</v>
      </c>
      <c r="U415" t="s">
        <v>39</v>
      </c>
      <c r="V415">
        <v>12.97</v>
      </c>
      <c r="W415">
        <v>77.59</v>
      </c>
      <c r="X415">
        <v>10429</v>
      </c>
      <c r="Y415">
        <v>12105</v>
      </c>
      <c r="Z415">
        <v>8677</v>
      </c>
      <c r="AA415">
        <v>10342</v>
      </c>
      <c r="AB415" t="s">
        <v>63</v>
      </c>
    </row>
    <row r="416" spans="1:28" x14ac:dyDescent="0.3">
      <c r="A416">
        <v>1414</v>
      </c>
      <c r="B416" t="s">
        <v>50</v>
      </c>
      <c r="C416" t="s">
        <v>29</v>
      </c>
      <c r="D416" t="s">
        <v>51</v>
      </c>
      <c r="E416" t="s">
        <v>52</v>
      </c>
      <c r="F416" t="s">
        <v>53</v>
      </c>
      <c r="G416" s="1">
        <v>46079</v>
      </c>
      <c r="H416" t="s">
        <v>33</v>
      </c>
      <c r="I416" t="s">
        <v>34</v>
      </c>
      <c r="J416" t="s">
        <v>77</v>
      </c>
      <c r="K416" t="s">
        <v>73</v>
      </c>
      <c r="L416">
        <v>32</v>
      </c>
      <c r="M416">
        <v>6880</v>
      </c>
      <c r="N416">
        <v>5395.14</v>
      </c>
      <c r="O416">
        <v>1484.86</v>
      </c>
      <c r="P416">
        <v>292</v>
      </c>
      <c r="Q416">
        <v>4.8</v>
      </c>
      <c r="R416">
        <v>0</v>
      </c>
      <c r="S416" t="s">
        <v>37</v>
      </c>
      <c r="T416" t="s">
        <v>49</v>
      </c>
      <c r="U416" t="s">
        <v>74</v>
      </c>
      <c r="V416">
        <v>19.07</v>
      </c>
      <c r="W416">
        <v>72.87</v>
      </c>
      <c r="X416">
        <v>9527</v>
      </c>
      <c r="Y416">
        <v>13408</v>
      </c>
      <c r="Z416">
        <v>8931</v>
      </c>
      <c r="AA416">
        <v>12026</v>
      </c>
      <c r="AB416" t="s">
        <v>79</v>
      </c>
    </row>
    <row r="417" spans="1:28" x14ac:dyDescent="0.3">
      <c r="A417">
        <v>1415</v>
      </c>
      <c r="B417" t="s">
        <v>41</v>
      </c>
      <c r="C417" t="s">
        <v>29</v>
      </c>
      <c r="D417" t="s">
        <v>42</v>
      </c>
      <c r="E417" t="s">
        <v>43</v>
      </c>
      <c r="F417" t="s">
        <v>44</v>
      </c>
      <c r="G417" s="1">
        <v>46105</v>
      </c>
      <c r="H417" t="s">
        <v>71</v>
      </c>
      <c r="I417" t="s">
        <v>57</v>
      </c>
      <c r="J417" t="s">
        <v>58</v>
      </c>
      <c r="K417" t="s">
        <v>47</v>
      </c>
      <c r="L417">
        <v>5</v>
      </c>
      <c r="M417">
        <v>1995</v>
      </c>
      <c r="N417">
        <v>1188.76</v>
      </c>
      <c r="O417">
        <v>806.24</v>
      </c>
      <c r="P417">
        <v>212</v>
      </c>
      <c r="Q417">
        <v>4.7</v>
      </c>
      <c r="R417">
        <v>10</v>
      </c>
      <c r="S417" t="s">
        <v>37</v>
      </c>
      <c r="T417" t="s">
        <v>49</v>
      </c>
      <c r="U417" t="s">
        <v>55</v>
      </c>
      <c r="V417">
        <v>28.61</v>
      </c>
      <c r="W417">
        <v>77.2</v>
      </c>
      <c r="X417">
        <v>11522</v>
      </c>
      <c r="Y417">
        <v>14706</v>
      </c>
      <c r="Z417">
        <v>10128</v>
      </c>
      <c r="AA417">
        <v>12608</v>
      </c>
      <c r="AB417" t="s">
        <v>63</v>
      </c>
    </row>
    <row r="418" spans="1:28" x14ac:dyDescent="0.3">
      <c r="A418">
        <v>1416</v>
      </c>
      <c r="B418" t="s">
        <v>41</v>
      </c>
      <c r="C418" t="s">
        <v>29</v>
      </c>
      <c r="D418" t="s">
        <v>42</v>
      </c>
      <c r="E418" t="s">
        <v>43</v>
      </c>
      <c r="F418" t="s">
        <v>44</v>
      </c>
      <c r="G418" s="1">
        <v>46039</v>
      </c>
      <c r="H418" t="s">
        <v>45</v>
      </c>
      <c r="I418" t="s">
        <v>34</v>
      </c>
      <c r="J418" t="s">
        <v>35</v>
      </c>
      <c r="K418" t="s">
        <v>36</v>
      </c>
      <c r="L418">
        <v>59</v>
      </c>
      <c r="M418">
        <v>17995</v>
      </c>
      <c r="N418">
        <v>14190.98</v>
      </c>
      <c r="O418">
        <v>3804.02</v>
      </c>
      <c r="P418">
        <v>195</v>
      </c>
      <c r="Q418">
        <v>3.7</v>
      </c>
      <c r="R418">
        <v>0</v>
      </c>
      <c r="S418" t="s">
        <v>37</v>
      </c>
      <c r="T418" t="s">
        <v>76</v>
      </c>
      <c r="U418" t="s">
        <v>39</v>
      </c>
      <c r="V418">
        <v>28.61</v>
      </c>
      <c r="W418">
        <v>77.2</v>
      </c>
      <c r="X418">
        <v>10486</v>
      </c>
      <c r="Y418">
        <v>11888</v>
      </c>
      <c r="Z418">
        <v>9571</v>
      </c>
      <c r="AA418">
        <v>10793</v>
      </c>
      <c r="AB418" t="s">
        <v>79</v>
      </c>
    </row>
    <row r="419" spans="1:28" x14ac:dyDescent="0.3">
      <c r="A419">
        <v>1417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s="1">
        <v>46100</v>
      </c>
      <c r="H419" t="s">
        <v>71</v>
      </c>
      <c r="I419" t="s">
        <v>69</v>
      </c>
      <c r="J419" t="s">
        <v>72</v>
      </c>
      <c r="K419" t="s">
        <v>36</v>
      </c>
      <c r="L419">
        <v>44</v>
      </c>
      <c r="M419">
        <v>13508</v>
      </c>
      <c r="N419">
        <v>10374.5</v>
      </c>
      <c r="O419">
        <v>3133.5</v>
      </c>
      <c r="P419">
        <v>124</v>
      </c>
      <c r="Q419">
        <v>4.0999999999999996</v>
      </c>
      <c r="R419">
        <v>0</v>
      </c>
      <c r="S419" t="s">
        <v>37</v>
      </c>
      <c r="T419" t="s">
        <v>38</v>
      </c>
      <c r="U419" t="s">
        <v>55</v>
      </c>
      <c r="V419">
        <v>12.97</v>
      </c>
      <c r="W419">
        <v>77.59</v>
      </c>
      <c r="X419">
        <v>12883</v>
      </c>
      <c r="Y419">
        <v>14088</v>
      </c>
      <c r="Z419">
        <v>11726</v>
      </c>
      <c r="AA419">
        <v>11762</v>
      </c>
      <c r="AB419" t="s">
        <v>63</v>
      </c>
    </row>
    <row r="420" spans="1:28" x14ac:dyDescent="0.3">
      <c r="A420">
        <v>1418</v>
      </c>
      <c r="B420" t="s">
        <v>65</v>
      </c>
      <c r="C420" t="s">
        <v>29</v>
      </c>
      <c r="D420" t="s">
        <v>66</v>
      </c>
      <c r="E420" t="s">
        <v>67</v>
      </c>
      <c r="F420" t="s">
        <v>32</v>
      </c>
      <c r="G420" s="1">
        <v>46115</v>
      </c>
      <c r="H420" t="s">
        <v>75</v>
      </c>
      <c r="I420" t="s">
        <v>69</v>
      </c>
      <c r="J420" t="s">
        <v>70</v>
      </c>
      <c r="K420" t="s">
        <v>78</v>
      </c>
      <c r="L420">
        <v>29</v>
      </c>
      <c r="M420">
        <v>9222</v>
      </c>
      <c r="N420">
        <v>5526.16</v>
      </c>
      <c r="O420">
        <v>3695.84</v>
      </c>
      <c r="P420">
        <v>200</v>
      </c>
      <c r="Q420">
        <v>4.0999999999999996</v>
      </c>
      <c r="R420">
        <v>15</v>
      </c>
      <c r="S420" t="s">
        <v>37</v>
      </c>
      <c r="T420" t="s">
        <v>38</v>
      </c>
      <c r="U420" t="s">
        <v>55</v>
      </c>
      <c r="V420">
        <v>9.93</v>
      </c>
      <c r="W420">
        <v>76.260000000000005</v>
      </c>
      <c r="X420">
        <v>5214</v>
      </c>
      <c r="Y420">
        <v>9807</v>
      </c>
      <c r="Z420">
        <v>3710</v>
      </c>
      <c r="AA420">
        <v>4122</v>
      </c>
      <c r="AB420" t="s">
        <v>40</v>
      </c>
    </row>
    <row r="421" spans="1:28" x14ac:dyDescent="0.3">
      <c r="A421">
        <v>1419</v>
      </c>
      <c r="B421" t="s">
        <v>50</v>
      </c>
      <c r="C421" t="s">
        <v>29</v>
      </c>
      <c r="D421" t="s">
        <v>51</v>
      </c>
      <c r="E421" t="s">
        <v>52</v>
      </c>
      <c r="F421" t="s">
        <v>53</v>
      </c>
      <c r="G421" s="1">
        <v>46182</v>
      </c>
      <c r="H421" t="s">
        <v>68</v>
      </c>
      <c r="I421" t="s">
        <v>69</v>
      </c>
      <c r="J421" t="s">
        <v>70</v>
      </c>
      <c r="K421" t="s">
        <v>36</v>
      </c>
      <c r="L421">
        <v>19</v>
      </c>
      <c r="M421">
        <v>7961</v>
      </c>
      <c r="N421">
        <v>4472.34</v>
      </c>
      <c r="O421">
        <v>3488.66</v>
      </c>
      <c r="P421">
        <v>234</v>
      </c>
      <c r="Q421">
        <v>4.8</v>
      </c>
      <c r="R421">
        <v>10</v>
      </c>
      <c r="S421" t="s">
        <v>37</v>
      </c>
      <c r="T421" t="s">
        <v>38</v>
      </c>
      <c r="U421" t="s">
        <v>39</v>
      </c>
      <c r="V421">
        <v>19.07</v>
      </c>
      <c r="W421">
        <v>72.87</v>
      </c>
      <c r="X421">
        <v>11926</v>
      </c>
      <c r="Y421">
        <v>13304</v>
      </c>
      <c r="Z421">
        <v>11279</v>
      </c>
      <c r="AA421">
        <v>13009</v>
      </c>
      <c r="AB421" t="s">
        <v>63</v>
      </c>
    </row>
    <row r="422" spans="1:28" x14ac:dyDescent="0.3">
      <c r="A422">
        <v>1420</v>
      </c>
      <c r="B422" t="s">
        <v>50</v>
      </c>
      <c r="C422" t="s">
        <v>29</v>
      </c>
      <c r="D422" t="s">
        <v>51</v>
      </c>
      <c r="E422" t="s">
        <v>52</v>
      </c>
      <c r="F422" t="s">
        <v>53</v>
      </c>
      <c r="G422" s="1">
        <v>46116</v>
      </c>
      <c r="H422" t="s">
        <v>75</v>
      </c>
      <c r="I422" t="s">
        <v>34</v>
      </c>
      <c r="J422" t="s">
        <v>46</v>
      </c>
      <c r="K422" t="s">
        <v>78</v>
      </c>
      <c r="L422">
        <v>12</v>
      </c>
      <c r="M422">
        <v>2496</v>
      </c>
      <c r="N422">
        <v>1473.13</v>
      </c>
      <c r="O422">
        <v>1022.87</v>
      </c>
      <c r="P422">
        <v>143</v>
      </c>
      <c r="Q422">
        <v>4.7</v>
      </c>
      <c r="R422">
        <v>5</v>
      </c>
      <c r="S422" t="s">
        <v>64</v>
      </c>
      <c r="T422" t="s">
        <v>38</v>
      </c>
      <c r="U422" t="s">
        <v>55</v>
      </c>
      <c r="V422">
        <v>19.07</v>
      </c>
      <c r="W422">
        <v>72.87</v>
      </c>
      <c r="X422">
        <v>13920</v>
      </c>
      <c r="Y422">
        <v>18688</v>
      </c>
      <c r="Z422">
        <v>12234</v>
      </c>
      <c r="AA422">
        <v>14971</v>
      </c>
      <c r="AB422" t="s">
        <v>63</v>
      </c>
    </row>
    <row r="423" spans="1:28" x14ac:dyDescent="0.3">
      <c r="A423">
        <v>1421</v>
      </c>
      <c r="B423" t="s">
        <v>60</v>
      </c>
      <c r="C423" t="s">
        <v>29</v>
      </c>
      <c r="D423" t="s">
        <v>61</v>
      </c>
      <c r="E423" t="s">
        <v>62</v>
      </c>
      <c r="F423" t="s">
        <v>32</v>
      </c>
      <c r="G423" s="1">
        <v>46150</v>
      </c>
      <c r="H423" t="s">
        <v>54</v>
      </c>
      <c r="I423" t="s">
        <v>69</v>
      </c>
      <c r="J423" t="s">
        <v>70</v>
      </c>
      <c r="K423" t="s">
        <v>36</v>
      </c>
      <c r="L423">
        <v>37</v>
      </c>
      <c r="M423">
        <v>9065</v>
      </c>
      <c r="N423">
        <v>5066.05</v>
      </c>
      <c r="O423">
        <v>3998.95</v>
      </c>
      <c r="P423">
        <v>46</v>
      </c>
      <c r="Q423">
        <v>3.9</v>
      </c>
      <c r="R423">
        <v>10</v>
      </c>
      <c r="S423" t="s">
        <v>48</v>
      </c>
      <c r="T423" t="s">
        <v>38</v>
      </c>
      <c r="U423" t="s">
        <v>74</v>
      </c>
      <c r="V423">
        <v>13.08</v>
      </c>
      <c r="W423">
        <v>80.27</v>
      </c>
      <c r="X423">
        <v>6873</v>
      </c>
      <c r="Y423">
        <v>9188</v>
      </c>
      <c r="Z423">
        <v>5885</v>
      </c>
      <c r="AA423">
        <v>7734</v>
      </c>
      <c r="AB423" t="s">
        <v>40</v>
      </c>
    </row>
    <row r="424" spans="1:28" x14ac:dyDescent="0.3">
      <c r="A424">
        <v>1422</v>
      </c>
      <c r="B424" t="s">
        <v>60</v>
      </c>
      <c r="C424" t="s">
        <v>29</v>
      </c>
      <c r="D424" t="s">
        <v>61</v>
      </c>
      <c r="E424" t="s">
        <v>62</v>
      </c>
      <c r="F424" t="s">
        <v>32</v>
      </c>
      <c r="G424" s="1">
        <v>46154</v>
      </c>
      <c r="H424" t="s">
        <v>54</v>
      </c>
      <c r="I424" t="s">
        <v>80</v>
      </c>
      <c r="J424" t="s">
        <v>81</v>
      </c>
      <c r="K424" t="s">
        <v>36</v>
      </c>
      <c r="L424">
        <v>39</v>
      </c>
      <c r="M424">
        <v>15522</v>
      </c>
      <c r="N424">
        <v>9777.1299999999992</v>
      </c>
      <c r="O424">
        <v>5744.87</v>
      </c>
      <c r="P424">
        <v>204</v>
      </c>
      <c r="Q424">
        <v>4.3</v>
      </c>
      <c r="R424">
        <v>15</v>
      </c>
      <c r="S424" t="s">
        <v>37</v>
      </c>
      <c r="T424" t="s">
        <v>49</v>
      </c>
      <c r="U424" t="s">
        <v>55</v>
      </c>
      <c r="V424">
        <v>13.08</v>
      </c>
      <c r="W424">
        <v>80.27</v>
      </c>
      <c r="X424">
        <v>9145</v>
      </c>
      <c r="Y424">
        <v>12926</v>
      </c>
      <c r="Z424">
        <v>7929</v>
      </c>
      <c r="AA424">
        <v>11939</v>
      </c>
      <c r="AB424" t="s">
        <v>63</v>
      </c>
    </row>
    <row r="425" spans="1:28" x14ac:dyDescent="0.3">
      <c r="A425">
        <v>1423</v>
      </c>
      <c r="B425" t="s">
        <v>60</v>
      </c>
      <c r="C425" t="s">
        <v>29</v>
      </c>
      <c r="D425" t="s">
        <v>61</v>
      </c>
      <c r="E425" t="s">
        <v>62</v>
      </c>
      <c r="F425" t="s">
        <v>32</v>
      </c>
      <c r="G425" s="1">
        <v>46146</v>
      </c>
      <c r="H425" t="s">
        <v>54</v>
      </c>
      <c r="I425" t="s">
        <v>57</v>
      </c>
      <c r="J425" t="s">
        <v>58</v>
      </c>
      <c r="K425" t="s">
        <v>73</v>
      </c>
      <c r="L425">
        <v>14</v>
      </c>
      <c r="M425">
        <v>3192</v>
      </c>
      <c r="N425">
        <v>1922.25</v>
      </c>
      <c r="O425">
        <v>1269.75</v>
      </c>
      <c r="P425">
        <v>272</v>
      </c>
      <c r="Q425">
        <v>4.8</v>
      </c>
      <c r="R425">
        <v>15</v>
      </c>
      <c r="S425" t="s">
        <v>48</v>
      </c>
      <c r="T425" t="s">
        <v>49</v>
      </c>
      <c r="U425" t="s">
        <v>55</v>
      </c>
      <c r="V425">
        <v>13.08</v>
      </c>
      <c r="W425">
        <v>80.27</v>
      </c>
      <c r="X425">
        <v>7466</v>
      </c>
      <c r="Y425">
        <v>9166</v>
      </c>
      <c r="Z425">
        <v>5977</v>
      </c>
      <c r="AA425">
        <v>8754</v>
      </c>
      <c r="AB425" t="s">
        <v>79</v>
      </c>
    </row>
    <row r="426" spans="1:28" x14ac:dyDescent="0.3">
      <c r="A426">
        <v>1424</v>
      </c>
      <c r="B426" t="s">
        <v>60</v>
      </c>
      <c r="C426" t="s">
        <v>29</v>
      </c>
      <c r="D426" t="s">
        <v>61</v>
      </c>
      <c r="E426" t="s">
        <v>62</v>
      </c>
      <c r="F426" t="s">
        <v>32</v>
      </c>
      <c r="G426" s="1">
        <v>46039</v>
      </c>
      <c r="H426" t="s">
        <v>45</v>
      </c>
      <c r="I426" t="s">
        <v>34</v>
      </c>
      <c r="J426" t="s">
        <v>46</v>
      </c>
      <c r="K426" t="s">
        <v>73</v>
      </c>
      <c r="L426">
        <v>44</v>
      </c>
      <c r="M426">
        <v>17600</v>
      </c>
      <c r="N426">
        <v>11433.41</v>
      </c>
      <c r="O426">
        <v>6166.59</v>
      </c>
      <c r="P426">
        <v>246</v>
      </c>
      <c r="Q426">
        <v>4.8</v>
      </c>
      <c r="R426">
        <v>10</v>
      </c>
      <c r="S426" t="s">
        <v>37</v>
      </c>
      <c r="T426" t="s">
        <v>76</v>
      </c>
      <c r="U426" t="s">
        <v>55</v>
      </c>
      <c r="V426">
        <v>13.08</v>
      </c>
      <c r="W426">
        <v>80.27</v>
      </c>
      <c r="X426">
        <v>12540</v>
      </c>
      <c r="Y426">
        <v>15808</v>
      </c>
      <c r="Z426">
        <v>11554</v>
      </c>
      <c r="AA426">
        <v>13311</v>
      </c>
      <c r="AB426" t="s">
        <v>63</v>
      </c>
    </row>
    <row r="427" spans="1:28" x14ac:dyDescent="0.3">
      <c r="A427">
        <v>1425</v>
      </c>
      <c r="B427" t="s">
        <v>60</v>
      </c>
      <c r="C427" t="s">
        <v>29</v>
      </c>
      <c r="D427" t="s">
        <v>61</v>
      </c>
      <c r="E427" t="s">
        <v>62</v>
      </c>
      <c r="F427" t="s">
        <v>32</v>
      </c>
      <c r="G427" s="1">
        <v>46194</v>
      </c>
      <c r="H427" t="s">
        <v>68</v>
      </c>
      <c r="I427" t="s">
        <v>57</v>
      </c>
      <c r="J427" t="s">
        <v>58</v>
      </c>
      <c r="K427" t="s">
        <v>36</v>
      </c>
      <c r="L427">
        <v>5</v>
      </c>
      <c r="M427">
        <v>1380</v>
      </c>
      <c r="N427">
        <v>891.34</v>
      </c>
      <c r="O427">
        <v>488.66</v>
      </c>
      <c r="P427">
        <v>143</v>
      </c>
      <c r="Q427">
        <v>4.8</v>
      </c>
      <c r="R427">
        <v>0</v>
      </c>
      <c r="S427" t="s">
        <v>64</v>
      </c>
      <c r="T427" t="s">
        <v>49</v>
      </c>
      <c r="U427" t="s">
        <v>39</v>
      </c>
      <c r="V427">
        <v>13.08</v>
      </c>
      <c r="W427">
        <v>80.27</v>
      </c>
      <c r="X427">
        <v>14737</v>
      </c>
      <c r="Y427">
        <v>18739</v>
      </c>
      <c r="Z427">
        <v>12894</v>
      </c>
      <c r="AA427">
        <v>13407</v>
      </c>
      <c r="AB427" t="s">
        <v>40</v>
      </c>
    </row>
    <row r="428" spans="1:28" x14ac:dyDescent="0.3">
      <c r="A428">
        <v>1426</v>
      </c>
      <c r="B428" t="s">
        <v>41</v>
      </c>
      <c r="C428" t="s">
        <v>29</v>
      </c>
      <c r="D428" t="s">
        <v>42</v>
      </c>
      <c r="E428" t="s">
        <v>43</v>
      </c>
      <c r="F428" t="s">
        <v>44</v>
      </c>
      <c r="G428" s="1">
        <v>46201</v>
      </c>
      <c r="H428" t="s">
        <v>68</v>
      </c>
      <c r="I428" t="s">
        <v>69</v>
      </c>
      <c r="J428" t="s">
        <v>70</v>
      </c>
      <c r="K428" t="s">
        <v>59</v>
      </c>
      <c r="L428">
        <v>9</v>
      </c>
      <c r="M428">
        <v>2592</v>
      </c>
      <c r="N428">
        <v>1588.14</v>
      </c>
      <c r="O428">
        <v>1003.86</v>
      </c>
      <c r="P428">
        <v>126</v>
      </c>
      <c r="Q428">
        <v>3.5</v>
      </c>
      <c r="R428">
        <v>15</v>
      </c>
      <c r="S428" t="s">
        <v>37</v>
      </c>
      <c r="T428" t="s">
        <v>49</v>
      </c>
      <c r="U428" t="s">
        <v>55</v>
      </c>
      <c r="V428">
        <v>28.61</v>
      </c>
      <c r="W428">
        <v>77.2</v>
      </c>
      <c r="X428">
        <v>13721</v>
      </c>
      <c r="Y428">
        <v>16583</v>
      </c>
      <c r="Z428">
        <v>12740</v>
      </c>
      <c r="AA428">
        <v>16570</v>
      </c>
      <c r="AB428" t="s">
        <v>56</v>
      </c>
    </row>
    <row r="429" spans="1:28" x14ac:dyDescent="0.3">
      <c r="A429">
        <v>1427</v>
      </c>
      <c r="B429" t="s">
        <v>50</v>
      </c>
      <c r="C429" t="s">
        <v>29</v>
      </c>
      <c r="D429" t="s">
        <v>51</v>
      </c>
      <c r="E429" t="s">
        <v>52</v>
      </c>
      <c r="F429" t="s">
        <v>53</v>
      </c>
      <c r="G429" s="1">
        <v>46033</v>
      </c>
      <c r="H429" t="s">
        <v>45</v>
      </c>
      <c r="I429" t="s">
        <v>57</v>
      </c>
      <c r="J429" t="s">
        <v>83</v>
      </c>
      <c r="K429" t="s">
        <v>36</v>
      </c>
      <c r="L429">
        <v>44</v>
      </c>
      <c r="M429">
        <v>17556</v>
      </c>
      <c r="N429">
        <v>11536.15</v>
      </c>
      <c r="O429">
        <v>6019.85</v>
      </c>
      <c r="P429">
        <v>255</v>
      </c>
      <c r="Q429">
        <v>4.4000000000000004</v>
      </c>
      <c r="R429">
        <v>10</v>
      </c>
      <c r="S429" t="s">
        <v>64</v>
      </c>
      <c r="T429" t="s">
        <v>76</v>
      </c>
      <c r="U429" t="s">
        <v>55</v>
      </c>
      <c r="V429">
        <v>19.07</v>
      </c>
      <c r="W429">
        <v>72.87</v>
      </c>
      <c r="X429">
        <v>5704</v>
      </c>
      <c r="Y429">
        <v>9897</v>
      </c>
      <c r="Z429">
        <v>4701</v>
      </c>
      <c r="AA429">
        <v>4901</v>
      </c>
      <c r="AB429" t="s">
        <v>63</v>
      </c>
    </row>
    <row r="430" spans="1:28" x14ac:dyDescent="0.3">
      <c r="A430">
        <v>1428</v>
      </c>
      <c r="B430" t="s">
        <v>50</v>
      </c>
      <c r="C430" t="s">
        <v>29</v>
      </c>
      <c r="D430" t="s">
        <v>51</v>
      </c>
      <c r="E430" t="s">
        <v>52</v>
      </c>
      <c r="F430" t="s">
        <v>53</v>
      </c>
      <c r="G430" s="1">
        <v>46047</v>
      </c>
      <c r="H430" t="s">
        <v>45</v>
      </c>
      <c r="I430" t="s">
        <v>80</v>
      </c>
      <c r="J430" t="s">
        <v>82</v>
      </c>
      <c r="K430" t="s">
        <v>36</v>
      </c>
      <c r="L430">
        <v>5</v>
      </c>
      <c r="M430">
        <v>1985</v>
      </c>
      <c r="N430">
        <v>1461.3</v>
      </c>
      <c r="O430">
        <v>523.70000000000005</v>
      </c>
      <c r="P430">
        <v>81</v>
      </c>
      <c r="Q430">
        <v>4.0999999999999996</v>
      </c>
      <c r="R430">
        <v>0</v>
      </c>
      <c r="S430" t="s">
        <v>37</v>
      </c>
      <c r="T430" t="s">
        <v>49</v>
      </c>
      <c r="U430" t="s">
        <v>39</v>
      </c>
      <c r="V430">
        <v>19.07</v>
      </c>
      <c r="W430">
        <v>72.87</v>
      </c>
      <c r="X430">
        <v>10887</v>
      </c>
      <c r="Y430">
        <v>14392</v>
      </c>
      <c r="Z430">
        <v>9842</v>
      </c>
      <c r="AA430">
        <v>12623</v>
      </c>
      <c r="AB430" t="s">
        <v>79</v>
      </c>
    </row>
    <row r="431" spans="1:28" x14ac:dyDescent="0.3">
      <c r="A431">
        <v>1429</v>
      </c>
      <c r="B431" t="s">
        <v>50</v>
      </c>
      <c r="C431" t="s">
        <v>29</v>
      </c>
      <c r="D431" t="s">
        <v>51</v>
      </c>
      <c r="E431" t="s">
        <v>52</v>
      </c>
      <c r="F431" t="s">
        <v>53</v>
      </c>
      <c r="G431" s="1">
        <v>46040</v>
      </c>
      <c r="H431" t="s">
        <v>45</v>
      </c>
      <c r="I431" t="s">
        <v>57</v>
      </c>
      <c r="J431" t="s">
        <v>58</v>
      </c>
      <c r="K431" t="s">
        <v>78</v>
      </c>
      <c r="L431">
        <v>17</v>
      </c>
      <c r="M431">
        <v>5525</v>
      </c>
      <c r="N431">
        <v>3464.32</v>
      </c>
      <c r="O431">
        <v>2060.6799999999998</v>
      </c>
      <c r="P431">
        <v>233</v>
      </c>
      <c r="Q431">
        <v>4.3</v>
      </c>
      <c r="R431">
        <v>10</v>
      </c>
      <c r="S431" t="s">
        <v>64</v>
      </c>
      <c r="T431" t="s">
        <v>76</v>
      </c>
      <c r="U431" t="s">
        <v>74</v>
      </c>
      <c r="V431">
        <v>19.07</v>
      </c>
      <c r="W431">
        <v>72.87</v>
      </c>
      <c r="X431">
        <v>5241</v>
      </c>
      <c r="Y431">
        <v>8145</v>
      </c>
      <c r="Z431">
        <v>3919</v>
      </c>
      <c r="AA431">
        <v>4590</v>
      </c>
      <c r="AB431" t="s">
        <v>79</v>
      </c>
    </row>
    <row r="432" spans="1:28" x14ac:dyDescent="0.3">
      <c r="A432">
        <v>1430</v>
      </c>
      <c r="B432" t="s">
        <v>28</v>
      </c>
      <c r="C432" t="s">
        <v>29</v>
      </c>
      <c r="D432" t="s">
        <v>30</v>
      </c>
      <c r="E432" t="s">
        <v>31</v>
      </c>
      <c r="F432" t="s">
        <v>32</v>
      </c>
      <c r="G432" s="1">
        <v>46136</v>
      </c>
      <c r="H432" t="s">
        <v>75</v>
      </c>
      <c r="I432" t="s">
        <v>69</v>
      </c>
      <c r="J432" t="s">
        <v>70</v>
      </c>
      <c r="K432" t="s">
        <v>73</v>
      </c>
      <c r="L432">
        <v>58</v>
      </c>
      <c r="M432">
        <v>17632</v>
      </c>
      <c r="N432">
        <v>10717.59</v>
      </c>
      <c r="O432">
        <v>6914.41</v>
      </c>
      <c r="P432">
        <v>77</v>
      </c>
      <c r="Q432">
        <v>5</v>
      </c>
      <c r="R432">
        <v>5</v>
      </c>
      <c r="S432" t="s">
        <v>64</v>
      </c>
      <c r="T432" t="s">
        <v>38</v>
      </c>
      <c r="U432" t="s">
        <v>55</v>
      </c>
      <c r="V432">
        <v>12.97</v>
      </c>
      <c r="W432">
        <v>77.59</v>
      </c>
      <c r="X432">
        <v>12230</v>
      </c>
      <c r="Y432">
        <v>13263</v>
      </c>
      <c r="Z432">
        <v>11461</v>
      </c>
      <c r="AA432">
        <v>12378</v>
      </c>
      <c r="AB432" t="s">
        <v>79</v>
      </c>
    </row>
    <row r="433" spans="1:28" x14ac:dyDescent="0.3">
      <c r="A433">
        <v>1431</v>
      </c>
      <c r="B433" t="s">
        <v>50</v>
      </c>
      <c r="C433" t="s">
        <v>29</v>
      </c>
      <c r="D433" t="s">
        <v>51</v>
      </c>
      <c r="E433" t="s">
        <v>52</v>
      </c>
      <c r="F433" t="s">
        <v>53</v>
      </c>
      <c r="G433" s="1">
        <v>46132</v>
      </c>
      <c r="H433" t="s">
        <v>75</v>
      </c>
      <c r="I433" t="s">
        <v>80</v>
      </c>
      <c r="J433" t="s">
        <v>81</v>
      </c>
      <c r="K433" t="s">
        <v>59</v>
      </c>
      <c r="L433">
        <v>36</v>
      </c>
      <c r="M433">
        <v>10368</v>
      </c>
      <c r="N433">
        <v>6874.43</v>
      </c>
      <c r="O433">
        <v>3493.57</v>
      </c>
      <c r="P433">
        <v>95</v>
      </c>
      <c r="Q433">
        <v>3.9</v>
      </c>
      <c r="R433">
        <v>15</v>
      </c>
      <c r="S433" t="s">
        <v>64</v>
      </c>
      <c r="T433" t="s">
        <v>49</v>
      </c>
      <c r="U433" t="s">
        <v>55</v>
      </c>
      <c r="V433">
        <v>19.07</v>
      </c>
      <c r="W433">
        <v>72.87</v>
      </c>
      <c r="X433">
        <v>11685</v>
      </c>
      <c r="Y433">
        <v>13176</v>
      </c>
      <c r="Z433">
        <v>9730</v>
      </c>
      <c r="AA433">
        <v>12256</v>
      </c>
      <c r="AB433" t="s">
        <v>79</v>
      </c>
    </row>
    <row r="434" spans="1:28" x14ac:dyDescent="0.3">
      <c r="A434">
        <v>1432</v>
      </c>
      <c r="B434" t="s">
        <v>28</v>
      </c>
      <c r="C434" t="s">
        <v>29</v>
      </c>
      <c r="D434" t="s">
        <v>30</v>
      </c>
      <c r="E434" t="s">
        <v>31</v>
      </c>
      <c r="F434" t="s">
        <v>32</v>
      </c>
      <c r="G434" s="1">
        <v>46164</v>
      </c>
      <c r="H434" t="s">
        <v>54</v>
      </c>
      <c r="I434" t="s">
        <v>34</v>
      </c>
      <c r="J434" t="s">
        <v>35</v>
      </c>
      <c r="K434" t="s">
        <v>78</v>
      </c>
      <c r="L434">
        <v>25</v>
      </c>
      <c r="M434">
        <v>5900</v>
      </c>
      <c r="N434">
        <v>4348.75</v>
      </c>
      <c r="O434">
        <v>1551.25</v>
      </c>
      <c r="P434">
        <v>198</v>
      </c>
      <c r="Q434">
        <v>4.4000000000000004</v>
      </c>
      <c r="R434">
        <v>5</v>
      </c>
      <c r="S434" t="s">
        <v>48</v>
      </c>
      <c r="T434" t="s">
        <v>76</v>
      </c>
      <c r="U434" t="s">
        <v>39</v>
      </c>
      <c r="V434">
        <v>12.97</v>
      </c>
      <c r="W434">
        <v>77.59</v>
      </c>
      <c r="X434">
        <v>13314</v>
      </c>
      <c r="Y434">
        <v>16098</v>
      </c>
      <c r="Z434">
        <v>12233</v>
      </c>
      <c r="AA434">
        <v>12998</v>
      </c>
      <c r="AB434" t="s">
        <v>56</v>
      </c>
    </row>
    <row r="435" spans="1:28" x14ac:dyDescent="0.3">
      <c r="A435">
        <v>1433</v>
      </c>
      <c r="B435" t="s">
        <v>60</v>
      </c>
      <c r="C435" t="s">
        <v>29</v>
      </c>
      <c r="D435" t="s">
        <v>61</v>
      </c>
      <c r="E435" t="s">
        <v>62</v>
      </c>
      <c r="F435" t="s">
        <v>32</v>
      </c>
      <c r="G435" s="1">
        <v>46118</v>
      </c>
      <c r="H435" t="s">
        <v>75</v>
      </c>
      <c r="I435" t="s">
        <v>80</v>
      </c>
      <c r="J435" t="s">
        <v>81</v>
      </c>
      <c r="K435" t="s">
        <v>73</v>
      </c>
      <c r="L435">
        <v>33</v>
      </c>
      <c r="M435">
        <v>12870</v>
      </c>
      <c r="N435">
        <v>7366.43</v>
      </c>
      <c r="O435">
        <v>5503.57</v>
      </c>
      <c r="P435">
        <v>52</v>
      </c>
      <c r="Q435">
        <v>3.7</v>
      </c>
      <c r="R435">
        <v>15</v>
      </c>
      <c r="S435" t="s">
        <v>48</v>
      </c>
      <c r="T435" t="s">
        <v>38</v>
      </c>
      <c r="U435" t="s">
        <v>55</v>
      </c>
      <c r="V435">
        <v>13.08</v>
      </c>
      <c r="W435">
        <v>80.27</v>
      </c>
      <c r="X435">
        <v>9070</v>
      </c>
      <c r="Y435">
        <v>12412</v>
      </c>
      <c r="Z435">
        <v>7763</v>
      </c>
      <c r="AA435">
        <v>9217</v>
      </c>
      <c r="AB435" t="s">
        <v>79</v>
      </c>
    </row>
    <row r="436" spans="1:28" x14ac:dyDescent="0.3">
      <c r="A436">
        <v>1434</v>
      </c>
      <c r="B436" t="s">
        <v>28</v>
      </c>
      <c r="C436" t="s">
        <v>29</v>
      </c>
      <c r="D436" t="s">
        <v>30</v>
      </c>
      <c r="E436" t="s">
        <v>31</v>
      </c>
      <c r="F436" t="s">
        <v>32</v>
      </c>
      <c r="G436" s="1">
        <v>46174</v>
      </c>
      <c r="H436" t="s">
        <v>68</v>
      </c>
      <c r="I436" t="s">
        <v>69</v>
      </c>
      <c r="J436" t="s">
        <v>72</v>
      </c>
      <c r="K436" t="s">
        <v>73</v>
      </c>
      <c r="L436">
        <v>7</v>
      </c>
      <c r="M436">
        <v>2737</v>
      </c>
      <c r="N436">
        <v>1658.61</v>
      </c>
      <c r="O436">
        <v>1078.3900000000001</v>
      </c>
      <c r="P436">
        <v>264</v>
      </c>
      <c r="Q436">
        <v>3.6</v>
      </c>
      <c r="R436">
        <v>10</v>
      </c>
      <c r="S436" t="s">
        <v>37</v>
      </c>
      <c r="T436" t="s">
        <v>76</v>
      </c>
      <c r="U436" t="s">
        <v>39</v>
      </c>
      <c r="V436">
        <v>12.97</v>
      </c>
      <c r="W436">
        <v>77.59</v>
      </c>
      <c r="X436">
        <v>8848</v>
      </c>
      <c r="Y436">
        <v>13114</v>
      </c>
      <c r="Z436">
        <v>8009</v>
      </c>
      <c r="AA436">
        <v>12318</v>
      </c>
      <c r="AB436" t="s">
        <v>79</v>
      </c>
    </row>
    <row r="437" spans="1:28" x14ac:dyDescent="0.3">
      <c r="A437">
        <v>1435</v>
      </c>
      <c r="B437" t="s">
        <v>41</v>
      </c>
      <c r="C437" t="s">
        <v>29</v>
      </c>
      <c r="D437" t="s">
        <v>42</v>
      </c>
      <c r="E437" t="s">
        <v>43</v>
      </c>
      <c r="F437" t="s">
        <v>44</v>
      </c>
      <c r="G437" s="1">
        <v>46193</v>
      </c>
      <c r="H437" t="s">
        <v>68</v>
      </c>
      <c r="I437" t="s">
        <v>57</v>
      </c>
      <c r="J437" t="s">
        <v>83</v>
      </c>
      <c r="K437" t="s">
        <v>59</v>
      </c>
      <c r="L437">
        <v>18</v>
      </c>
      <c r="M437">
        <v>5148</v>
      </c>
      <c r="N437">
        <v>3038.04</v>
      </c>
      <c r="O437">
        <v>2109.96</v>
      </c>
      <c r="P437">
        <v>72</v>
      </c>
      <c r="Q437">
        <v>4.9000000000000004</v>
      </c>
      <c r="R437">
        <v>5</v>
      </c>
      <c r="S437" t="s">
        <v>48</v>
      </c>
      <c r="T437" t="s">
        <v>76</v>
      </c>
      <c r="U437" t="s">
        <v>39</v>
      </c>
      <c r="V437">
        <v>28.61</v>
      </c>
      <c r="W437">
        <v>77.2</v>
      </c>
      <c r="X437">
        <v>7388</v>
      </c>
      <c r="Y437">
        <v>10076</v>
      </c>
      <c r="Z437">
        <v>5838</v>
      </c>
      <c r="AA437">
        <v>8899</v>
      </c>
      <c r="AB437" t="s">
        <v>63</v>
      </c>
    </row>
    <row r="438" spans="1:28" x14ac:dyDescent="0.3">
      <c r="A438">
        <v>1436</v>
      </c>
      <c r="B438" t="s">
        <v>50</v>
      </c>
      <c r="C438" t="s">
        <v>29</v>
      </c>
      <c r="D438" t="s">
        <v>51</v>
      </c>
      <c r="E438" t="s">
        <v>52</v>
      </c>
      <c r="F438" t="s">
        <v>53</v>
      </c>
      <c r="G438" s="1">
        <v>46085</v>
      </c>
      <c r="H438" t="s">
        <v>71</v>
      </c>
      <c r="I438" t="s">
        <v>34</v>
      </c>
      <c r="J438" t="s">
        <v>46</v>
      </c>
      <c r="K438" t="s">
        <v>59</v>
      </c>
      <c r="L438">
        <v>47</v>
      </c>
      <c r="M438">
        <v>12878</v>
      </c>
      <c r="N438">
        <v>8518.65</v>
      </c>
      <c r="O438">
        <v>4359.3500000000004</v>
      </c>
      <c r="P438">
        <v>294</v>
      </c>
      <c r="Q438">
        <v>3.8</v>
      </c>
      <c r="R438">
        <v>5</v>
      </c>
      <c r="S438" t="s">
        <v>64</v>
      </c>
      <c r="T438" t="s">
        <v>49</v>
      </c>
      <c r="U438" t="s">
        <v>39</v>
      </c>
      <c r="V438">
        <v>19.07</v>
      </c>
      <c r="W438">
        <v>72.87</v>
      </c>
      <c r="X438">
        <v>8384</v>
      </c>
      <c r="Y438">
        <v>12310</v>
      </c>
      <c r="Z438">
        <v>6623</v>
      </c>
      <c r="AA438">
        <v>11626</v>
      </c>
      <c r="AB438" t="s">
        <v>79</v>
      </c>
    </row>
    <row r="439" spans="1:28" x14ac:dyDescent="0.3">
      <c r="A439">
        <v>1437</v>
      </c>
      <c r="B439" t="s">
        <v>60</v>
      </c>
      <c r="C439" t="s">
        <v>29</v>
      </c>
      <c r="D439" t="s">
        <v>61</v>
      </c>
      <c r="E439" t="s">
        <v>62</v>
      </c>
      <c r="F439" t="s">
        <v>32</v>
      </c>
      <c r="G439" s="1">
        <v>46172</v>
      </c>
      <c r="H439" t="s">
        <v>54</v>
      </c>
      <c r="I439" t="s">
        <v>69</v>
      </c>
      <c r="J439" t="s">
        <v>70</v>
      </c>
      <c r="K439" t="s">
        <v>73</v>
      </c>
      <c r="L439">
        <v>15</v>
      </c>
      <c r="M439">
        <v>5415</v>
      </c>
      <c r="N439">
        <v>3110.09</v>
      </c>
      <c r="O439">
        <v>2304.91</v>
      </c>
      <c r="P439">
        <v>65</v>
      </c>
      <c r="Q439">
        <v>4.2</v>
      </c>
      <c r="R439">
        <v>15</v>
      </c>
      <c r="S439" t="s">
        <v>37</v>
      </c>
      <c r="T439" t="s">
        <v>38</v>
      </c>
      <c r="U439" t="s">
        <v>55</v>
      </c>
      <c r="V439">
        <v>13.08</v>
      </c>
      <c r="W439">
        <v>80.27</v>
      </c>
      <c r="X439">
        <v>6381</v>
      </c>
      <c r="Y439">
        <v>9727</v>
      </c>
      <c r="Z439">
        <v>5053</v>
      </c>
      <c r="AA439">
        <v>8382</v>
      </c>
      <c r="AB439" t="s">
        <v>63</v>
      </c>
    </row>
    <row r="440" spans="1:28" x14ac:dyDescent="0.3">
      <c r="A440">
        <v>1438</v>
      </c>
      <c r="B440" t="s">
        <v>41</v>
      </c>
      <c r="C440" t="s">
        <v>29</v>
      </c>
      <c r="D440" t="s">
        <v>42</v>
      </c>
      <c r="E440" t="s">
        <v>43</v>
      </c>
      <c r="F440" t="s">
        <v>44</v>
      </c>
      <c r="G440" s="1">
        <v>46056</v>
      </c>
      <c r="H440" t="s">
        <v>33</v>
      </c>
      <c r="I440" t="s">
        <v>80</v>
      </c>
      <c r="J440" t="s">
        <v>82</v>
      </c>
      <c r="K440" t="s">
        <v>78</v>
      </c>
      <c r="L440">
        <v>32</v>
      </c>
      <c r="M440">
        <v>11456</v>
      </c>
      <c r="N440">
        <v>6605.97</v>
      </c>
      <c r="O440">
        <v>4850.03</v>
      </c>
      <c r="P440">
        <v>194</v>
      </c>
      <c r="Q440">
        <v>4.2</v>
      </c>
      <c r="R440">
        <v>15</v>
      </c>
      <c r="S440" t="s">
        <v>48</v>
      </c>
      <c r="T440" t="s">
        <v>38</v>
      </c>
      <c r="U440" t="s">
        <v>39</v>
      </c>
      <c r="V440">
        <v>28.61</v>
      </c>
      <c r="W440">
        <v>77.2</v>
      </c>
      <c r="X440">
        <v>10901</v>
      </c>
      <c r="Y440">
        <v>14740</v>
      </c>
      <c r="Z440">
        <v>9826</v>
      </c>
      <c r="AA440">
        <v>14007</v>
      </c>
      <c r="AB440" t="s">
        <v>56</v>
      </c>
    </row>
    <row r="441" spans="1:28" x14ac:dyDescent="0.3">
      <c r="A441">
        <v>1439</v>
      </c>
      <c r="B441" t="s">
        <v>28</v>
      </c>
      <c r="C441" t="s">
        <v>29</v>
      </c>
      <c r="D441" t="s">
        <v>30</v>
      </c>
      <c r="E441" t="s">
        <v>31</v>
      </c>
      <c r="F441" t="s">
        <v>32</v>
      </c>
      <c r="G441" s="1">
        <v>46038</v>
      </c>
      <c r="H441" t="s">
        <v>45</v>
      </c>
      <c r="I441" t="s">
        <v>57</v>
      </c>
      <c r="J441" t="s">
        <v>83</v>
      </c>
      <c r="K441" t="s">
        <v>36</v>
      </c>
      <c r="L441">
        <v>51</v>
      </c>
      <c r="M441">
        <v>15351</v>
      </c>
      <c r="N441">
        <v>9750.6299999999992</v>
      </c>
      <c r="O441">
        <v>5600.37</v>
      </c>
      <c r="P441">
        <v>260</v>
      </c>
      <c r="Q441">
        <v>4.7</v>
      </c>
      <c r="R441">
        <v>0</v>
      </c>
      <c r="S441" t="s">
        <v>64</v>
      </c>
      <c r="T441" t="s">
        <v>76</v>
      </c>
      <c r="U441" t="s">
        <v>39</v>
      </c>
      <c r="V441">
        <v>12.97</v>
      </c>
      <c r="W441">
        <v>77.59</v>
      </c>
      <c r="X441">
        <v>11709</v>
      </c>
      <c r="Y441">
        <v>14182</v>
      </c>
      <c r="Z441">
        <v>10652</v>
      </c>
      <c r="AA441">
        <v>13274</v>
      </c>
      <c r="AB441" t="s">
        <v>79</v>
      </c>
    </row>
    <row r="442" spans="1:28" x14ac:dyDescent="0.3">
      <c r="A442">
        <v>1440</v>
      </c>
      <c r="B442" t="s">
        <v>50</v>
      </c>
      <c r="C442" t="s">
        <v>29</v>
      </c>
      <c r="D442" t="s">
        <v>51</v>
      </c>
      <c r="E442" t="s">
        <v>52</v>
      </c>
      <c r="F442" t="s">
        <v>53</v>
      </c>
      <c r="G442" s="1">
        <v>46132</v>
      </c>
      <c r="H442" t="s">
        <v>75</v>
      </c>
      <c r="I442" t="s">
        <v>80</v>
      </c>
      <c r="J442" t="s">
        <v>82</v>
      </c>
      <c r="K442" t="s">
        <v>47</v>
      </c>
      <c r="L442">
        <v>7</v>
      </c>
      <c r="M442">
        <v>2933</v>
      </c>
      <c r="N442">
        <v>1922.93</v>
      </c>
      <c r="O442">
        <v>1010.07</v>
      </c>
      <c r="P442">
        <v>122</v>
      </c>
      <c r="Q442">
        <v>3.9</v>
      </c>
      <c r="R442">
        <v>10</v>
      </c>
      <c r="S442" t="s">
        <v>48</v>
      </c>
      <c r="T442" t="s">
        <v>38</v>
      </c>
      <c r="U442" t="s">
        <v>39</v>
      </c>
      <c r="V442">
        <v>19.07</v>
      </c>
      <c r="W442">
        <v>72.87</v>
      </c>
      <c r="X442">
        <v>10924</v>
      </c>
      <c r="Y442">
        <v>14842</v>
      </c>
      <c r="Z442">
        <v>9634</v>
      </c>
      <c r="AA442">
        <v>11390</v>
      </c>
      <c r="AB442" t="s">
        <v>79</v>
      </c>
    </row>
    <row r="443" spans="1:28" x14ac:dyDescent="0.3">
      <c r="A443">
        <v>1441</v>
      </c>
      <c r="B443" t="s">
        <v>28</v>
      </c>
      <c r="C443" t="s">
        <v>29</v>
      </c>
      <c r="D443" t="s">
        <v>30</v>
      </c>
      <c r="E443" t="s">
        <v>31</v>
      </c>
      <c r="F443" t="s">
        <v>32</v>
      </c>
      <c r="G443" s="1">
        <v>46178</v>
      </c>
      <c r="H443" t="s">
        <v>68</v>
      </c>
      <c r="I443" t="s">
        <v>69</v>
      </c>
      <c r="J443" t="s">
        <v>70</v>
      </c>
      <c r="K443" t="s">
        <v>78</v>
      </c>
      <c r="L443">
        <v>33</v>
      </c>
      <c r="M443">
        <v>8679</v>
      </c>
      <c r="N443">
        <v>6022.8</v>
      </c>
      <c r="O443">
        <v>2656.2</v>
      </c>
      <c r="P443">
        <v>69</v>
      </c>
      <c r="Q443">
        <v>4.0999999999999996</v>
      </c>
      <c r="R443">
        <v>10</v>
      </c>
      <c r="S443" t="s">
        <v>64</v>
      </c>
      <c r="T443" t="s">
        <v>49</v>
      </c>
      <c r="U443" t="s">
        <v>55</v>
      </c>
      <c r="V443">
        <v>12.97</v>
      </c>
      <c r="W443">
        <v>77.59</v>
      </c>
      <c r="X443">
        <v>12411</v>
      </c>
      <c r="Y443">
        <v>16751</v>
      </c>
      <c r="Z443">
        <v>11825</v>
      </c>
      <c r="AA443">
        <v>14177</v>
      </c>
      <c r="AB443" t="s">
        <v>56</v>
      </c>
    </row>
    <row r="444" spans="1:28" x14ac:dyDescent="0.3">
      <c r="A444">
        <v>1442</v>
      </c>
      <c r="B444" t="s">
        <v>41</v>
      </c>
      <c r="C444" t="s">
        <v>29</v>
      </c>
      <c r="D444" t="s">
        <v>42</v>
      </c>
      <c r="E444" t="s">
        <v>43</v>
      </c>
      <c r="F444" t="s">
        <v>44</v>
      </c>
      <c r="G444" s="1">
        <v>46114</v>
      </c>
      <c r="H444" t="s">
        <v>75</v>
      </c>
      <c r="I444" t="s">
        <v>57</v>
      </c>
      <c r="J444" t="s">
        <v>58</v>
      </c>
      <c r="K444" t="s">
        <v>73</v>
      </c>
      <c r="L444">
        <v>20</v>
      </c>
      <c r="M444">
        <v>3920</v>
      </c>
      <c r="N444">
        <v>2502.44</v>
      </c>
      <c r="O444">
        <v>1417.56</v>
      </c>
      <c r="P444">
        <v>217</v>
      </c>
      <c r="Q444">
        <v>4.5999999999999996</v>
      </c>
      <c r="R444">
        <v>0</v>
      </c>
      <c r="S444" t="s">
        <v>37</v>
      </c>
      <c r="T444" t="s">
        <v>49</v>
      </c>
      <c r="U444" t="s">
        <v>74</v>
      </c>
      <c r="V444">
        <v>28.61</v>
      </c>
      <c r="W444">
        <v>77.2</v>
      </c>
      <c r="X444">
        <v>14336</v>
      </c>
      <c r="Y444">
        <v>18354</v>
      </c>
      <c r="Z444">
        <v>12677</v>
      </c>
      <c r="AA444">
        <v>17224</v>
      </c>
      <c r="AB444" t="s">
        <v>79</v>
      </c>
    </row>
    <row r="445" spans="1:28" x14ac:dyDescent="0.3">
      <c r="A445">
        <v>1443</v>
      </c>
      <c r="B445" t="s">
        <v>50</v>
      </c>
      <c r="C445" t="s">
        <v>29</v>
      </c>
      <c r="D445" t="s">
        <v>51</v>
      </c>
      <c r="E445" t="s">
        <v>52</v>
      </c>
      <c r="F445" t="s">
        <v>53</v>
      </c>
      <c r="G445" s="1">
        <v>46191</v>
      </c>
      <c r="H445" t="s">
        <v>68</v>
      </c>
      <c r="I445" t="s">
        <v>34</v>
      </c>
      <c r="J445" t="s">
        <v>35</v>
      </c>
      <c r="K445" t="s">
        <v>36</v>
      </c>
      <c r="L445">
        <v>8</v>
      </c>
      <c r="M445">
        <v>2392</v>
      </c>
      <c r="N445">
        <v>1457.57</v>
      </c>
      <c r="O445">
        <v>934.43</v>
      </c>
      <c r="P445">
        <v>249</v>
      </c>
      <c r="Q445">
        <v>4.8</v>
      </c>
      <c r="R445">
        <v>10</v>
      </c>
      <c r="S445" t="s">
        <v>37</v>
      </c>
      <c r="T445" t="s">
        <v>49</v>
      </c>
      <c r="U445" t="s">
        <v>74</v>
      </c>
      <c r="V445">
        <v>19.07</v>
      </c>
      <c r="W445">
        <v>72.87</v>
      </c>
      <c r="X445">
        <v>12812</v>
      </c>
      <c r="Y445">
        <v>15823</v>
      </c>
      <c r="Z445">
        <v>11219</v>
      </c>
      <c r="AA445">
        <v>14287</v>
      </c>
      <c r="AB445" t="s">
        <v>40</v>
      </c>
    </row>
    <row r="446" spans="1:28" x14ac:dyDescent="0.3">
      <c r="A446">
        <v>1444</v>
      </c>
      <c r="B446" t="s">
        <v>28</v>
      </c>
      <c r="C446" t="s">
        <v>29</v>
      </c>
      <c r="D446" t="s">
        <v>30</v>
      </c>
      <c r="E446" t="s">
        <v>31</v>
      </c>
      <c r="F446" t="s">
        <v>32</v>
      </c>
      <c r="G446" s="1">
        <v>46166</v>
      </c>
      <c r="H446" t="s">
        <v>54</v>
      </c>
      <c r="I446" t="s">
        <v>80</v>
      </c>
      <c r="J446" t="s">
        <v>81</v>
      </c>
      <c r="K446" t="s">
        <v>78</v>
      </c>
      <c r="L446">
        <v>43</v>
      </c>
      <c r="M446">
        <v>16598</v>
      </c>
      <c r="N446">
        <v>9379.6299999999992</v>
      </c>
      <c r="O446">
        <v>7218.37</v>
      </c>
      <c r="P446">
        <v>216</v>
      </c>
      <c r="Q446">
        <v>4.9000000000000004</v>
      </c>
      <c r="R446">
        <v>0</v>
      </c>
      <c r="S446" t="s">
        <v>48</v>
      </c>
      <c r="T446" t="s">
        <v>76</v>
      </c>
      <c r="U446" t="s">
        <v>39</v>
      </c>
      <c r="V446">
        <v>12.97</v>
      </c>
      <c r="W446">
        <v>77.59</v>
      </c>
      <c r="X446">
        <v>11380</v>
      </c>
      <c r="Y446">
        <v>13703</v>
      </c>
      <c r="Z446">
        <v>10612</v>
      </c>
      <c r="AA446">
        <v>12272</v>
      </c>
      <c r="AB446" t="s">
        <v>63</v>
      </c>
    </row>
    <row r="447" spans="1:28" x14ac:dyDescent="0.3">
      <c r="A447">
        <v>1445</v>
      </c>
      <c r="B447" t="s">
        <v>50</v>
      </c>
      <c r="C447" t="s">
        <v>29</v>
      </c>
      <c r="D447" t="s">
        <v>51</v>
      </c>
      <c r="E447" t="s">
        <v>52</v>
      </c>
      <c r="F447" t="s">
        <v>53</v>
      </c>
      <c r="G447" s="1">
        <v>46028</v>
      </c>
      <c r="H447" t="s">
        <v>45</v>
      </c>
      <c r="I447" t="s">
        <v>80</v>
      </c>
      <c r="J447" t="s">
        <v>82</v>
      </c>
      <c r="K447" t="s">
        <v>73</v>
      </c>
      <c r="L447">
        <v>16</v>
      </c>
      <c r="M447">
        <v>3648</v>
      </c>
      <c r="N447">
        <v>2554.98</v>
      </c>
      <c r="O447">
        <v>1093.02</v>
      </c>
      <c r="P447">
        <v>159</v>
      </c>
      <c r="Q447">
        <v>4.9000000000000004</v>
      </c>
      <c r="R447">
        <v>0</v>
      </c>
      <c r="S447" t="s">
        <v>64</v>
      </c>
      <c r="T447" t="s">
        <v>38</v>
      </c>
      <c r="U447" t="s">
        <v>55</v>
      </c>
      <c r="V447">
        <v>19.07</v>
      </c>
      <c r="W447">
        <v>72.87</v>
      </c>
      <c r="X447">
        <v>6076</v>
      </c>
      <c r="Y447">
        <v>9387</v>
      </c>
      <c r="Z447">
        <v>5190</v>
      </c>
      <c r="AA447">
        <v>7119</v>
      </c>
      <c r="AB447" t="s">
        <v>56</v>
      </c>
    </row>
    <row r="448" spans="1:28" x14ac:dyDescent="0.3">
      <c r="A448">
        <v>1446</v>
      </c>
      <c r="B448" t="s">
        <v>60</v>
      </c>
      <c r="C448" t="s">
        <v>29</v>
      </c>
      <c r="D448" t="s">
        <v>61</v>
      </c>
      <c r="E448" t="s">
        <v>62</v>
      </c>
      <c r="F448" t="s">
        <v>32</v>
      </c>
      <c r="G448" s="1">
        <v>46182</v>
      </c>
      <c r="H448" t="s">
        <v>68</v>
      </c>
      <c r="I448" t="s">
        <v>34</v>
      </c>
      <c r="J448" t="s">
        <v>46</v>
      </c>
      <c r="K448" t="s">
        <v>47</v>
      </c>
      <c r="L448">
        <v>44</v>
      </c>
      <c r="M448">
        <v>11968</v>
      </c>
      <c r="N448">
        <v>6745.08</v>
      </c>
      <c r="O448">
        <v>5222.92</v>
      </c>
      <c r="P448">
        <v>239</v>
      </c>
      <c r="Q448">
        <v>3.8</v>
      </c>
      <c r="R448">
        <v>15</v>
      </c>
      <c r="S448" t="s">
        <v>48</v>
      </c>
      <c r="T448" t="s">
        <v>38</v>
      </c>
      <c r="U448" t="s">
        <v>74</v>
      </c>
      <c r="V448">
        <v>13.08</v>
      </c>
      <c r="W448">
        <v>80.27</v>
      </c>
      <c r="X448">
        <v>14160</v>
      </c>
      <c r="Y448">
        <v>17053</v>
      </c>
      <c r="Z448">
        <v>13372</v>
      </c>
      <c r="AA448">
        <v>14477</v>
      </c>
      <c r="AB448" t="s">
        <v>79</v>
      </c>
    </row>
    <row r="449" spans="1:28" x14ac:dyDescent="0.3">
      <c r="A449">
        <v>1447</v>
      </c>
      <c r="B449" t="s">
        <v>41</v>
      </c>
      <c r="C449" t="s">
        <v>29</v>
      </c>
      <c r="D449" t="s">
        <v>42</v>
      </c>
      <c r="E449" t="s">
        <v>43</v>
      </c>
      <c r="F449" t="s">
        <v>44</v>
      </c>
      <c r="G449" s="1">
        <v>46144</v>
      </c>
      <c r="H449" t="s">
        <v>54</v>
      </c>
      <c r="I449" t="s">
        <v>69</v>
      </c>
      <c r="J449" t="s">
        <v>72</v>
      </c>
      <c r="K449" t="s">
        <v>78</v>
      </c>
      <c r="L449">
        <v>60</v>
      </c>
      <c r="M449">
        <v>13440</v>
      </c>
      <c r="N449">
        <v>10582.59</v>
      </c>
      <c r="O449">
        <v>2857.41</v>
      </c>
      <c r="P449">
        <v>246</v>
      </c>
      <c r="Q449">
        <v>4.0999999999999996</v>
      </c>
      <c r="R449">
        <v>0</v>
      </c>
      <c r="S449" t="s">
        <v>64</v>
      </c>
      <c r="T449" t="s">
        <v>49</v>
      </c>
      <c r="U449" t="s">
        <v>39</v>
      </c>
      <c r="V449">
        <v>28.61</v>
      </c>
      <c r="W449">
        <v>77.2</v>
      </c>
      <c r="X449">
        <v>9589</v>
      </c>
      <c r="Y449">
        <v>10936</v>
      </c>
      <c r="Z449">
        <v>8721</v>
      </c>
      <c r="AA449">
        <v>9588</v>
      </c>
      <c r="AB449" t="s">
        <v>79</v>
      </c>
    </row>
    <row r="450" spans="1:28" x14ac:dyDescent="0.3">
      <c r="A450">
        <v>1448</v>
      </c>
      <c r="B450" t="s">
        <v>50</v>
      </c>
      <c r="C450" t="s">
        <v>29</v>
      </c>
      <c r="D450" t="s">
        <v>51</v>
      </c>
      <c r="E450" t="s">
        <v>52</v>
      </c>
      <c r="F450" t="s">
        <v>53</v>
      </c>
      <c r="G450" s="1">
        <v>46050</v>
      </c>
      <c r="H450" t="s">
        <v>45</v>
      </c>
      <c r="I450" t="s">
        <v>69</v>
      </c>
      <c r="J450" t="s">
        <v>72</v>
      </c>
      <c r="K450" t="s">
        <v>36</v>
      </c>
      <c r="L450">
        <v>46</v>
      </c>
      <c r="M450">
        <v>8740</v>
      </c>
      <c r="N450">
        <v>5718.33</v>
      </c>
      <c r="O450">
        <v>3021.67</v>
      </c>
      <c r="P450">
        <v>227</v>
      </c>
      <c r="Q450">
        <v>4.3</v>
      </c>
      <c r="R450">
        <v>5</v>
      </c>
      <c r="S450" t="s">
        <v>48</v>
      </c>
      <c r="T450" t="s">
        <v>38</v>
      </c>
      <c r="U450" t="s">
        <v>39</v>
      </c>
      <c r="V450">
        <v>19.07</v>
      </c>
      <c r="W450">
        <v>72.87</v>
      </c>
      <c r="X450">
        <v>5473</v>
      </c>
      <c r="Y450">
        <v>7828</v>
      </c>
      <c r="Z450">
        <v>4247</v>
      </c>
      <c r="AA450">
        <v>6211</v>
      </c>
      <c r="AB450" t="s">
        <v>40</v>
      </c>
    </row>
    <row r="451" spans="1:28" x14ac:dyDescent="0.3">
      <c r="A451">
        <v>1449</v>
      </c>
      <c r="B451" t="s">
        <v>50</v>
      </c>
      <c r="C451" t="s">
        <v>29</v>
      </c>
      <c r="D451" t="s">
        <v>51</v>
      </c>
      <c r="E451" t="s">
        <v>52</v>
      </c>
      <c r="F451" t="s">
        <v>53</v>
      </c>
      <c r="G451" s="1">
        <v>46053</v>
      </c>
      <c r="H451" t="s">
        <v>45</v>
      </c>
      <c r="I451" t="s">
        <v>69</v>
      </c>
      <c r="J451" t="s">
        <v>70</v>
      </c>
      <c r="K451" t="s">
        <v>78</v>
      </c>
      <c r="L451">
        <v>59</v>
      </c>
      <c r="M451">
        <v>22597</v>
      </c>
      <c r="N451">
        <v>13993.46</v>
      </c>
      <c r="O451">
        <v>8603.5400000000009</v>
      </c>
      <c r="P451">
        <v>295</v>
      </c>
      <c r="Q451">
        <v>4.0999999999999996</v>
      </c>
      <c r="R451">
        <v>15</v>
      </c>
      <c r="S451" t="s">
        <v>48</v>
      </c>
      <c r="T451" t="s">
        <v>76</v>
      </c>
      <c r="U451" t="s">
        <v>39</v>
      </c>
      <c r="V451">
        <v>19.07</v>
      </c>
      <c r="W451">
        <v>72.87</v>
      </c>
      <c r="X451">
        <v>11928</v>
      </c>
      <c r="Y451">
        <v>14279</v>
      </c>
      <c r="Z451">
        <v>10602</v>
      </c>
      <c r="AA451">
        <v>13845</v>
      </c>
      <c r="AB451" t="s">
        <v>40</v>
      </c>
    </row>
    <row r="452" spans="1:28" x14ac:dyDescent="0.3">
      <c r="A452">
        <v>1450</v>
      </c>
      <c r="B452" t="s">
        <v>50</v>
      </c>
      <c r="C452" t="s">
        <v>29</v>
      </c>
      <c r="D452" t="s">
        <v>51</v>
      </c>
      <c r="E452" t="s">
        <v>52</v>
      </c>
      <c r="F452" t="s">
        <v>53</v>
      </c>
      <c r="G452" s="1">
        <v>46112</v>
      </c>
      <c r="H452" t="s">
        <v>71</v>
      </c>
      <c r="I452" t="s">
        <v>57</v>
      </c>
      <c r="J452" t="s">
        <v>58</v>
      </c>
      <c r="K452" t="s">
        <v>78</v>
      </c>
      <c r="L452">
        <v>32</v>
      </c>
      <c r="M452">
        <v>13216</v>
      </c>
      <c r="N452">
        <v>9823.6200000000008</v>
      </c>
      <c r="O452">
        <v>3392.38</v>
      </c>
      <c r="P452">
        <v>50</v>
      </c>
      <c r="Q452">
        <v>3.6</v>
      </c>
      <c r="R452">
        <v>15</v>
      </c>
      <c r="S452" t="s">
        <v>37</v>
      </c>
      <c r="T452" t="s">
        <v>49</v>
      </c>
      <c r="U452" t="s">
        <v>55</v>
      </c>
      <c r="V452">
        <v>19.07</v>
      </c>
      <c r="W452">
        <v>72.87</v>
      </c>
      <c r="X452">
        <v>5035</v>
      </c>
      <c r="Y452">
        <v>9394</v>
      </c>
      <c r="Z452">
        <v>3403</v>
      </c>
      <c r="AA452">
        <v>4440</v>
      </c>
      <c r="AB452" t="s">
        <v>63</v>
      </c>
    </row>
    <row r="453" spans="1:28" x14ac:dyDescent="0.3">
      <c r="A453">
        <v>1451</v>
      </c>
      <c r="B453" t="s">
        <v>41</v>
      </c>
      <c r="C453" t="s">
        <v>29</v>
      </c>
      <c r="D453" t="s">
        <v>42</v>
      </c>
      <c r="E453" t="s">
        <v>43</v>
      </c>
      <c r="F453" t="s">
        <v>44</v>
      </c>
      <c r="G453" s="1">
        <v>46037</v>
      </c>
      <c r="H453" t="s">
        <v>45</v>
      </c>
      <c r="I453" t="s">
        <v>69</v>
      </c>
      <c r="J453" t="s">
        <v>72</v>
      </c>
      <c r="K453" t="s">
        <v>59</v>
      </c>
      <c r="L453">
        <v>56</v>
      </c>
      <c r="M453">
        <v>17416</v>
      </c>
      <c r="N453">
        <v>10245.08</v>
      </c>
      <c r="O453">
        <v>7170.92</v>
      </c>
      <c r="P453">
        <v>293</v>
      </c>
      <c r="Q453">
        <v>4.8</v>
      </c>
      <c r="R453">
        <v>15</v>
      </c>
      <c r="S453" t="s">
        <v>64</v>
      </c>
      <c r="T453" t="s">
        <v>76</v>
      </c>
      <c r="U453" t="s">
        <v>39</v>
      </c>
      <c r="V453">
        <v>28.61</v>
      </c>
      <c r="W453">
        <v>77.2</v>
      </c>
      <c r="X453">
        <v>9273</v>
      </c>
      <c r="Y453">
        <v>13007</v>
      </c>
      <c r="Z453">
        <v>8764</v>
      </c>
      <c r="AA453">
        <v>10719</v>
      </c>
      <c r="AB453" t="s">
        <v>40</v>
      </c>
    </row>
    <row r="454" spans="1:28" x14ac:dyDescent="0.3">
      <c r="A454">
        <v>1452</v>
      </c>
      <c r="B454" t="s">
        <v>65</v>
      </c>
      <c r="C454" t="s">
        <v>29</v>
      </c>
      <c r="D454" t="s">
        <v>66</v>
      </c>
      <c r="E454" t="s">
        <v>67</v>
      </c>
      <c r="F454" t="s">
        <v>32</v>
      </c>
      <c r="G454" s="1">
        <v>46189</v>
      </c>
      <c r="H454" t="s">
        <v>68</v>
      </c>
      <c r="I454" t="s">
        <v>34</v>
      </c>
      <c r="J454" t="s">
        <v>35</v>
      </c>
      <c r="K454" t="s">
        <v>59</v>
      </c>
      <c r="L454">
        <v>31</v>
      </c>
      <c r="M454">
        <v>6789</v>
      </c>
      <c r="N454">
        <v>4565.55</v>
      </c>
      <c r="O454">
        <v>2223.4499999999998</v>
      </c>
      <c r="P454">
        <v>139</v>
      </c>
      <c r="Q454">
        <v>4.3</v>
      </c>
      <c r="R454">
        <v>0</v>
      </c>
      <c r="S454" t="s">
        <v>37</v>
      </c>
      <c r="T454" t="s">
        <v>76</v>
      </c>
      <c r="U454" t="s">
        <v>39</v>
      </c>
      <c r="V454">
        <v>9.93</v>
      </c>
      <c r="W454">
        <v>76.260000000000005</v>
      </c>
      <c r="X454">
        <v>13423</v>
      </c>
      <c r="Y454">
        <v>18149</v>
      </c>
      <c r="Z454">
        <v>11854</v>
      </c>
      <c r="AA454">
        <v>17923</v>
      </c>
      <c r="AB454" t="s">
        <v>40</v>
      </c>
    </row>
    <row r="455" spans="1:28" x14ac:dyDescent="0.3">
      <c r="A455">
        <v>1453</v>
      </c>
      <c r="B455" t="s">
        <v>41</v>
      </c>
      <c r="C455" t="s">
        <v>29</v>
      </c>
      <c r="D455" t="s">
        <v>42</v>
      </c>
      <c r="E455" t="s">
        <v>43</v>
      </c>
      <c r="F455" t="s">
        <v>44</v>
      </c>
      <c r="G455" s="1">
        <v>46063</v>
      </c>
      <c r="H455" t="s">
        <v>33</v>
      </c>
      <c r="I455" t="s">
        <v>34</v>
      </c>
      <c r="J455" t="s">
        <v>35</v>
      </c>
      <c r="K455" t="s">
        <v>59</v>
      </c>
      <c r="L455">
        <v>28</v>
      </c>
      <c r="M455">
        <v>6720</v>
      </c>
      <c r="N455">
        <v>5233.76</v>
      </c>
      <c r="O455">
        <v>1486.24</v>
      </c>
      <c r="P455">
        <v>80</v>
      </c>
      <c r="Q455">
        <v>3.8</v>
      </c>
      <c r="R455">
        <v>15</v>
      </c>
      <c r="S455" t="s">
        <v>48</v>
      </c>
      <c r="T455" t="s">
        <v>76</v>
      </c>
      <c r="U455" t="s">
        <v>55</v>
      </c>
      <c r="V455">
        <v>28.61</v>
      </c>
      <c r="W455">
        <v>77.2</v>
      </c>
      <c r="X455">
        <v>5970</v>
      </c>
      <c r="Y455">
        <v>7613</v>
      </c>
      <c r="Z455">
        <v>4121</v>
      </c>
      <c r="AA455">
        <v>6059</v>
      </c>
      <c r="AB455" t="s">
        <v>79</v>
      </c>
    </row>
    <row r="456" spans="1:28" x14ac:dyDescent="0.3">
      <c r="A456">
        <v>1454</v>
      </c>
      <c r="B456" t="s">
        <v>41</v>
      </c>
      <c r="C456" t="s">
        <v>29</v>
      </c>
      <c r="D456" t="s">
        <v>42</v>
      </c>
      <c r="E456" t="s">
        <v>43</v>
      </c>
      <c r="F456" t="s">
        <v>44</v>
      </c>
      <c r="G456" s="1">
        <v>46107</v>
      </c>
      <c r="H456" t="s">
        <v>71</v>
      </c>
      <c r="I456" t="s">
        <v>57</v>
      </c>
      <c r="J456" t="s">
        <v>83</v>
      </c>
      <c r="K456" t="s">
        <v>73</v>
      </c>
      <c r="L456">
        <v>55</v>
      </c>
      <c r="M456">
        <v>18535</v>
      </c>
      <c r="N456">
        <v>10997.67</v>
      </c>
      <c r="O456">
        <v>7537.33</v>
      </c>
      <c r="P456">
        <v>175</v>
      </c>
      <c r="Q456">
        <v>4.3</v>
      </c>
      <c r="R456">
        <v>5</v>
      </c>
      <c r="S456" t="s">
        <v>48</v>
      </c>
      <c r="T456" t="s">
        <v>38</v>
      </c>
      <c r="U456" t="s">
        <v>74</v>
      </c>
      <c r="V456">
        <v>28.61</v>
      </c>
      <c r="W456">
        <v>77.2</v>
      </c>
      <c r="X456">
        <v>5241</v>
      </c>
      <c r="Y456">
        <v>9117</v>
      </c>
      <c r="Z456">
        <v>3449</v>
      </c>
      <c r="AA456">
        <v>6949</v>
      </c>
      <c r="AB456" t="s">
        <v>63</v>
      </c>
    </row>
    <row r="457" spans="1:28" x14ac:dyDescent="0.3">
      <c r="A457">
        <v>1455</v>
      </c>
      <c r="B457" t="s">
        <v>60</v>
      </c>
      <c r="C457" t="s">
        <v>29</v>
      </c>
      <c r="D457" t="s">
        <v>61</v>
      </c>
      <c r="E457" t="s">
        <v>62</v>
      </c>
      <c r="F457" t="s">
        <v>32</v>
      </c>
      <c r="G457" s="1">
        <v>46038</v>
      </c>
      <c r="H457" t="s">
        <v>45</v>
      </c>
      <c r="I457" t="s">
        <v>69</v>
      </c>
      <c r="J457" t="s">
        <v>70</v>
      </c>
      <c r="K457" t="s">
        <v>78</v>
      </c>
      <c r="L457">
        <v>52</v>
      </c>
      <c r="M457">
        <v>11388</v>
      </c>
      <c r="N457">
        <v>6911.6</v>
      </c>
      <c r="O457">
        <v>4476.3999999999996</v>
      </c>
      <c r="P457">
        <v>101</v>
      </c>
      <c r="Q457">
        <v>4.5999999999999996</v>
      </c>
      <c r="R457">
        <v>0</v>
      </c>
      <c r="S457" t="s">
        <v>48</v>
      </c>
      <c r="T457" t="s">
        <v>49</v>
      </c>
      <c r="U457" t="s">
        <v>74</v>
      </c>
      <c r="V457">
        <v>13.08</v>
      </c>
      <c r="W457">
        <v>80.27</v>
      </c>
      <c r="X457">
        <v>5916</v>
      </c>
      <c r="Y457">
        <v>7983</v>
      </c>
      <c r="Z457">
        <v>4946</v>
      </c>
      <c r="AA457">
        <v>6265</v>
      </c>
      <c r="AB457" t="s">
        <v>63</v>
      </c>
    </row>
    <row r="458" spans="1:28" x14ac:dyDescent="0.3">
      <c r="A458">
        <v>1456</v>
      </c>
      <c r="B458" t="s">
        <v>50</v>
      </c>
      <c r="C458" t="s">
        <v>29</v>
      </c>
      <c r="D458" t="s">
        <v>51</v>
      </c>
      <c r="E458" t="s">
        <v>52</v>
      </c>
      <c r="F458" t="s">
        <v>53</v>
      </c>
      <c r="G458" s="1">
        <v>46198</v>
      </c>
      <c r="H458" t="s">
        <v>68</v>
      </c>
      <c r="I458" t="s">
        <v>34</v>
      </c>
      <c r="J458" t="s">
        <v>35</v>
      </c>
      <c r="K458" t="s">
        <v>36</v>
      </c>
      <c r="L458">
        <v>13</v>
      </c>
      <c r="M458">
        <v>3237</v>
      </c>
      <c r="N458">
        <v>1870.12</v>
      </c>
      <c r="O458">
        <v>1366.88</v>
      </c>
      <c r="P458">
        <v>300</v>
      </c>
      <c r="Q458">
        <v>4.4000000000000004</v>
      </c>
      <c r="R458">
        <v>5</v>
      </c>
      <c r="S458" t="s">
        <v>37</v>
      </c>
      <c r="T458" t="s">
        <v>49</v>
      </c>
      <c r="U458" t="s">
        <v>74</v>
      </c>
      <c r="V458">
        <v>19.07</v>
      </c>
      <c r="W458">
        <v>72.87</v>
      </c>
      <c r="X458">
        <v>6213</v>
      </c>
      <c r="Y458">
        <v>8977</v>
      </c>
      <c r="Z458">
        <v>5070</v>
      </c>
      <c r="AA458">
        <v>8024</v>
      </c>
      <c r="AB458" t="s">
        <v>63</v>
      </c>
    </row>
    <row r="459" spans="1:28" x14ac:dyDescent="0.3">
      <c r="A459">
        <v>1457</v>
      </c>
      <c r="B459" t="s">
        <v>60</v>
      </c>
      <c r="C459" t="s">
        <v>29</v>
      </c>
      <c r="D459" t="s">
        <v>61</v>
      </c>
      <c r="E459" t="s">
        <v>62</v>
      </c>
      <c r="F459" t="s">
        <v>32</v>
      </c>
      <c r="G459" s="1">
        <v>46085</v>
      </c>
      <c r="H459" t="s">
        <v>71</v>
      </c>
      <c r="I459" t="s">
        <v>57</v>
      </c>
      <c r="J459" t="s">
        <v>83</v>
      </c>
      <c r="K459" t="s">
        <v>73</v>
      </c>
      <c r="L459">
        <v>30</v>
      </c>
      <c r="M459">
        <v>11580</v>
      </c>
      <c r="N459">
        <v>6561.65</v>
      </c>
      <c r="O459">
        <v>5018.3500000000004</v>
      </c>
      <c r="P459">
        <v>123</v>
      </c>
      <c r="Q459">
        <v>4.5</v>
      </c>
      <c r="R459">
        <v>0</v>
      </c>
      <c r="S459" t="s">
        <v>48</v>
      </c>
      <c r="T459" t="s">
        <v>76</v>
      </c>
      <c r="U459" t="s">
        <v>74</v>
      </c>
      <c r="V459">
        <v>13.08</v>
      </c>
      <c r="W459">
        <v>80.27</v>
      </c>
      <c r="X459">
        <v>10305</v>
      </c>
      <c r="Y459">
        <v>12713</v>
      </c>
      <c r="Z459">
        <v>9268</v>
      </c>
      <c r="AA459">
        <v>12396</v>
      </c>
      <c r="AB459" t="s">
        <v>40</v>
      </c>
    </row>
    <row r="460" spans="1:28" x14ac:dyDescent="0.3">
      <c r="A460">
        <v>1458</v>
      </c>
      <c r="B460" t="s">
        <v>41</v>
      </c>
      <c r="C460" t="s">
        <v>29</v>
      </c>
      <c r="D460" t="s">
        <v>42</v>
      </c>
      <c r="E460" t="s">
        <v>43</v>
      </c>
      <c r="F460" t="s">
        <v>44</v>
      </c>
      <c r="G460" s="1">
        <v>46036</v>
      </c>
      <c r="H460" t="s">
        <v>45</v>
      </c>
      <c r="I460" t="s">
        <v>34</v>
      </c>
      <c r="J460" t="s">
        <v>77</v>
      </c>
      <c r="K460" t="s">
        <v>73</v>
      </c>
      <c r="L460">
        <v>26</v>
      </c>
      <c r="M460">
        <v>7774</v>
      </c>
      <c r="N460">
        <v>4890.8500000000004</v>
      </c>
      <c r="O460">
        <v>2883.15</v>
      </c>
      <c r="P460">
        <v>66</v>
      </c>
      <c r="Q460">
        <v>3.6</v>
      </c>
      <c r="R460">
        <v>0</v>
      </c>
      <c r="S460" t="s">
        <v>48</v>
      </c>
      <c r="T460" t="s">
        <v>38</v>
      </c>
      <c r="U460" t="s">
        <v>74</v>
      </c>
      <c r="V460">
        <v>28.61</v>
      </c>
      <c r="W460">
        <v>77.2</v>
      </c>
      <c r="X460">
        <v>14738</v>
      </c>
      <c r="Y460">
        <v>17951</v>
      </c>
      <c r="Z460">
        <v>12791</v>
      </c>
      <c r="AA460">
        <v>12975</v>
      </c>
      <c r="AB460" t="s">
        <v>63</v>
      </c>
    </row>
    <row r="461" spans="1:28" x14ac:dyDescent="0.3">
      <c r="A461">
        <v>1459</v>
      </c>
      <c r="B461" t="s">
        <v>41</v>
      </c>
      <c r="C461" t="s">
        <v>29</v>
      </c>
      <c r="D461" t="s">
        <v>42</v>
      </c>
      <c r="E461" t="s">
        <v>43</v>
      </c>
      <c r="F461" t="s">
        <v>44</v>
      </c>
      <c r="G461" s="1">
        <v>46126</v>
      </c>
      <c r="H461" t="s">
        <v>75</v>
      </c>
      <c r="I461" t="s">
        <v>34</v>
      </c>
      <c r="J461" t="s">
        <v>46</v>
      </c>
      <c r="K461" t="s">
        <v>78</v>
      </c>
      <c r="L461">
        <v>35</v>
      </c>
      <c r="M461">
        <v>12845</v>
      </c>
      <c r="N461">
        <v>8458.8700000000008</v>
      </c>
      <c r="O461">
        <v>4386.13</v>
      </c>
      <c r="P461">
        <v>214</v>
      </c>
      <c r="Q461">
        <v>4.8</v>
      </c>
      <c r="R461">
        <v>15</v>
      </c>
      <c r="S461" t="s">
        <v>64</v>
      </c>
      <c r="T461" t="s">
        <v>76</v>
      </c>
      <c r="U461" t="s">
        <v>39</v>
      </c>
      <c r="V461">
        <v>28.61</v>
      </c>
      <c r="W461">
        <v>77.2</v>
      </c>
      <c r="X461">
        <v>10782</v>
      </c>
      <c r="Y461">
        <v>14083</v>
      </c>
      <c r="Z461">
        <v>9569</v>
      </c>
      <c r="AA461">
        <v>13382</v>
      </c>
      <c r="AB461" t="s">
        <v>79</v>
      </c>
    </row>
    <row r="462" spans="1:28" x14ac:dyDescent="0.3">
      <c r="A462">
        <v>1460</v>
      </c>
      <c r="B462" t="s">
        <v>50</v>
      </c>
      <c r="C462" t="s">
        <v>29</v>
      </c>
      <c r="D462" t="s">
        <v>51</v>
      </c>
      <c r="E462" t="s">
        <v>52</v>
      </c>
      <c r="F462" t="s">
        <v>53</v>
      </c>
      <c r="G462" s="1">
        <v>46132</v>
      </c>
      <c r="H462" t="s">
        <v>75</v>
      </c>
      <c r="I462" t="s">
        <v>57</v>
      </c>
      <c r="J462" t="s">
        <v>58</v>
      </c>
      <c r="K462" t="s">
        <v>73</v>
      </c>
      <c r="L462">
        <v>29</v>
      </c>
      <c r="M462">
        <v>10527</v>
      </c>
      <c r="N462">
        <v>7298.46</v>
      </c>
      <c r="O462">
        <v>3228.54</v>
      </c>
      <c r="P462">
        <v>225</v>
      </c>
      <c r="Q462">
        <v>4</v>
      </c>
      <c r="R462">
        <v>0</v>
      </c>
      <c r="S462" t="s">
        <v>37</v>
      </c>
      <c r="T462" t="s">
        <v>49</v>
      </c>
      <c r="U462" t="s">
        <v>39</v>
      </c>
      <c r="V462">
        <v>19.07</v>
      </c>
      <c r="W462">
        <v>72.87</v>
      </c>
      <c r="X462">
        <v>7534</v>
      </c>
      <c r="Y462">
        <v>12287</v>
      </c>
      <c r="Z462">
        <v>5930</v>
      </c>
      <c r="AA462">
        <v>8702</v>
      </c>
      <c r="AB462" t="s">
        <v>79</v>
      </c>
    </row>
    <row r="463" spans="1:28" x14ac:dyDescent="0.3">
      <c r="A463">
        <v>1461</v>
      </c>
      <c r="B463" t="s">
        <v>60</v>
      </c>
      <c r="C463" t="s">
        <v>29</v>
      </c>
      <c r="D463" t="s">
        <v>61</v>
      </c>
      <c r="E463" t="s">
        <v>62</v>
      </c>
      <c r="F463" t="s">
        <v>32</v>
      </c>
      <c r="G463" s="1">
        <v>46053</v>
      </c>
      <c r="H463" t="s">
        <v>45</v>
      </c>
      <c r="I463" t="s">
        <v>69</v>
      </c>
      <c r="J463" t="s">
        <v>72</v>
      </c>
      <c r="K463" t="s">
        <v>59</v>
      </c>
      <c r="L463">
        <v>34</v>
      </c>
      <c r="M463">
        <v>11696</v>
      </c>
      <c r="N463">
        <v>9305.5400000000009</v>
      </c>
      <c r="O463">
        <v>2390.46</v>
      </c>
      <c r="P463">
        <v>253</v>
      </c>
      <c r="Q463">
        <v>3.7</v>
      </c>
      <c r="R463">
        <v>5</v>
      </c>
      <c r="S463" t="s">
        <v>48</v>
      </c>
      <c r="T463" t="s">
        <v>76</v>
      </c>
      <c r="U463" t="s">
        <v>55</v>
      </c>
      <c r="V463">
        <v>13.08</v>
      </c>
      <c r="W463">
        <v>80.27</v>
      </c>
      <c r="X463">
        <v>8317</v>
      </c>
      <c r="Y463">
        <v>9416</v>
      </c>
      <c r="Z463">
        <v>6696</v>
      </c>
      <c r="AA463">
        <v>7565</v>
      </c>
      <c r="AB463" t="s">
        <v>79</v>
      </c>
    </row>
    <row r="464" spans="1:28" x14ac:dyDescent="0.3">
      <c r="A464">
        <v>1462</v>
      </c>
      <c r="B464" t="s">
        <v>50</v>
      </c>
      <c r="C464" t="s">
        <v>29</v>
      </c>
      <c r="D464" t="s">
        <v>51</v>
      </c>
      <c r="E464" t="s">
        <v>52</v>
      </c>
      <c r="F464" t="s">
        <v>53</v>
      </c>
      <c r="G464" s="1">
        <v>46144</v>
      </c>
      <c r="H464" t="s">
        <v>54</v>
      </c>
      <c r="I464" t="s">
        <v>57</v>
      </c>
      <c r="J464" t="s">
        <v>58</v>
      </c>
      <c r="K464" t="s">
        <v>78</v>
      </c>
      <c r="L464">
        <v>32</v>
      </c>
      <c r="M464">
        <v>8032</v>
      </c>
      <c r="N464">
        <v>6385.88</v>
      </c>
      <c r="O464">
        <v>1646.12</v>
      </c>
      <c r="P464">
        <v>130</v>
      </c>
      <c r="Q464">
        <v>4.9000000000000004</v>
      </c>
      <c r="R464">
        <v>15</v>
      </c>
      <c r="S464" t="s">
        <v>48</v>
      </c>
      <c r="T464" t="s">
        <v>76</v>
      </c>
      <c r="U464" t="s">
        <v>39</v>
      </c>
      <c r="V464">
        <v>19.07</v>
      </c>
      <c r="W464">
        <v>72.87</v>
      </c>
      <c r="X464">
        <v>13144</v>
      </c>
      <c r="Y464">
        <v>16321</v>
      </c>
      <c r="Z464">
        <v>11167</v>
      </c>
      <c r="AA464">
        <v>11585</v>
      </c>
      <c r="AB464" t="s">
        <v>63</v>
      </c>
    </row>
    <row r="465" spans="1:28" x14ac:dyDescent="0.3">
      <c r="A465">
        <v>1463</v>
      </c>
      <c r="B465" t="s">
        <v>65</v>
      </c>
      <c r="C465" t="s">
        <v>29</v>
      </c>
      <c r="D465" t="s">
        <v>66</v>
      </c>
      <c r="E465" t="s">
        <v>67</v>
      </c>
      <c r="F465" t="s">
        <v>32</v>
      </c>
      <c r="G465" s="1">
        <v>46170</v>
      </c>
      <c r="H465" t="s">
        <v>54</v>
      </c>
      <c r="I465" t="s">
        <v>80</v>
      </c>
      <c r="J465" t="s">
        <v>81</v>
      </c>
      <c r="K465" t="s">
        <v>47</v>
      </c>
      <c r="L465">
        <v>13</v>
      </c>
      <c r="M465">
        <v>3341</v>
      </c>
      <c r="N465">
        <v>2498.27</v>
      </c>
      <c r="O465">
        <v>842.73</v>
      </c>
      <c r="P465">
        <v>126</v>
      </c>
      <c r="Q465">
        <v>4.4000000000000004</v>
      </c>
      <c r="R465">
        <v>0</v>
      </c>
      <c r="S465" t="s">
        <v>64</v>
      </c>
      <c r="T465" t="s">
        <v>76</v>
      </c>
      <c r="U465" t="s">
        <v>55</v>
      </c>
      <c r="V465">
        <v>9.93</v>
      </c>
      <c r="W465">
        <v>76.260000000000005</v>
      </c>
      <c r="X465">
        <v>10555</v>
      </c>
      <c r="Y465">
        <v>15454</v>
      </c>
      <c r="Z465">
        <v>9541</v>
      </c>
      <c r="AA465">
        <v>11963</v>
      </c>
      <c r="AB465" t="s">
        <v>63</v>
      </c>
    </row>
    <row r="466" spans="1:28" x14ac:dyDescent="0.3">
      <c r="A466">
        <v>1464</v>
      </c>
      <c r="B466" t="s">
        <v>50</v>
      </c>
      <c r="C466" t="s">
        <v>29</v>
      </c>
      <c r="D466" t="s">
        <v>51</v>
      </c>
      <c r="E466" t="s">
        <v>52</v>
      </c>
      <c r="F466" t="s">
        <v>53</v>
      </c>
      <c r="G466" s="1">
        <v>46197</v>
      </c>
      <c r="H466" t="s">
        <v>68</v>
      </c>
      <c r="I466" t="s">
        <v>57</v>
      </c>
      <c r="J466" t="s">
        <v>58</v>
      </c>
      <c r="K466" t="s">
        <v>73</v>
      </c>
      <c r="L466">
        <v>56</v>
      </c>
      <c r="M466">
        <v>21168</v>
      </c>
      <c r="N466">
        <v>14893.67</v>
      </c>
      <c r="O466">
        <v>6274.33</v>
      </c>
      <c r="P466">
        <v>187</v>
      </c>
      <c r="Q466">
        <v>4.5</v>
      </c>
      <c r="R466">
        <v>0</v>
      </c>
      <c r="S466" t="s">
        <v>48</v>
      </c>
      <c r="T466" t="s">
        <v>76</v>
      </c>
      <c r="U466" t="s">
        <v>39</v>
      </c>
      <c r="V466">
        <v>19.07</v>
      </c>
      <c r="W466">
        <v>72.87</v>
      </c>
      <c r="X466">
        <v>5532</v>
      </c>
      <c r="Y466">
        <v>8558</v>
      </c>
      <c r="Z466">
        <v>3938</v>
      </c>
      <c r="AA466">
        <v>6910</v>
      </c>
      <c r="AB466" t="s">
        <v>79</v>
      </c>
    </row>
    <row r="467" spans="1:28" x14ac:dyDescent="0.3">
      <c r="A467">
        <v>1465</v>
      </c>
      <c r="B467" t="s">
        <v>65</v>
      </c>
      <c r="C467" t="s">
        <v>29</v>
      </c>
      <c r="D467" t="s">
        <v>66</v>
      </c>
      <c r="E467" t="s">
        <v>67</v>
      </c>
      <c r="F467" t="s">
        <v>32</v>
      </c>
      <c r="G467" s="1">
        <v>46116</v>
      </c>
      <c r="H467" t="s">
        <v>75</v>
      </c>
      <c r="I467" t="s">
        <v>57</v>
      </c>
      <c r="J467" t="s">
        <v>83</v>
      </c>
      <c r="K467" t="s">
        <v>47</v>
      </c>
      <c r="L467">
        <v>20</v>
      </c>
      <c r="M467">
        <v>5020</v>
      </c>
      <c r="N467">
        <v>3394.22</v>
      </c>
      <c r="O467">
        <v>1625.78</v>
      </c>
      <c r="P467">
        <v>238</v>
      </c>
      <c r="Q467">
        <v>4.7</v>
      </c>
      <c r="R467">
        <v>0</v>
      </c>
      <c r="S467" t="s">
        <v>64</v>
      </c>
      <c r="T467" t="s">
        <v>76</v>
      </c>
      <c r="U467" t="s">
        <v>74</v>
      </c>
      <c r="V467">
        <v>9.93</v>
      </c>
      <c r="W467">
        <v>76.260000000000005</v>
      </c>
      <c r="X467">
        <v>7876</v>
      </c>
      <c r="Y467">
        <v>10725</v>
      </c>
      <c r="Z467">
        <v>6747</v>
      </c>
      <c r="AA467">
        <v>8026</v>
      </c>
      <c r="AB467" t="s">
        <v>63</v>
      </c>
    </row>
    <row r="468" spans="1:28" x14ac:dyDescent="0.3">
      <c r="A468">
        <v>1466</v>
      </c>
      <c r="B468" t="s">
        <v>41</v>
      </c>
      <c r="C468" t="s">
        <v>29</v>
      </c>
      <c r="D468" t="s">
        <v>42</v>
      </c>
      <c r="E468" t="s">
        <v>43</v>
      </c>
      <c r="F468" t="s">
        <v>44</v>
      </c>
      <c r="G468" s="1">
        <v>46035</v>
      </c>
      <c r="H468" t="s">
        <v>45</v>
      </c>
      <c r="I468" t="s">
        <v>80</v>
      </c>
      <c r="J468" t="s">
        <v>82</v>
      </c>
      <c r="K468" t="s">
        <v>36</v>
      </c>
      <c r="L468">
        <v>41</v>
      </c>
      <c r="M468">
        <v>13448</v>
      </c>
      <c r="N468">
        <v>9912.4</v>
      </c>
      <c r="O468">
        <v>3535.6</v>
      </c>
      <c r="P468">
        <v>112</v>
      </c>
      <c r="Q468">
        <v>4.2</v>
      </c>
      <c r="R468">
        <v>10</v>
      </c>
      <c r="S468" t="s">
        <v>64</v>
      </c>
      <c r="T468" t="s">
        <v>49</v>
      </c>
      <c r="U468" t="s">
        <v>39</v>
      </c>
      <c r="V468">
        <v>28.61</v>
      </c>
      <c r="W468">
        <v>77.2</v>
      </c>
      <c r="X468">
        <v>12242</v>
      </c>
      <c r="Y468">
        <v>16615</v>
      </c>
      <c r="Z468">
        <v>10439</v>
      </c>
      <c r="AA468">
        <v>14112</v>
      </c>
      <c r="AB468" t="s">
        <v>63</v>
      </c>
    </row>
    <row r="469" spans="1:28" x14ac:dyDescent="0.3">
      <c r="A469">
        <v>1467</v>
      </c>
      <c r="B469" t="s">
        <v>28</v>
      </c>
      <c r="C469" t="s">
        <v>29</v>
      </c>
      <c r="D469" t="s">
        <v>30</v>
      </c>
      <c r="E469" t="s">
        <v>31</v>
      </c>
      <c r="F469" t="s">
        <v>32</v>
      </c>
      <c r="G469" s="1">
        <v>46124</v>
      </c>
      <c r="H469" t="s">
        <v>75</v>
      </c>
      <c r="I469" t="s">
        <v>34</v>
      </c>
      <c r="J469" t="s">
        <v>35</v>
      </c>
      <c r="K469" t="s">
        <v>59</v>
      </c>
      <c r="L469">
        <v>17</v>
      </c>
      <c r="M469">
        <v>3944</v>
      </c>
      <c r="N469">
        <v>2948.88</v>
      </c>
      <c r="O469">
        <v>995.12</v>
      </c>
      <c r="P469">
        <v>128</v>
      </c>
      <c r="Q469">
        <v>4.9000000000000004</v>
      </c>
      <c r="R469">
        <v>5</v>
      </c>
      <c r="S469" t="s">
        <v>64</v>
      </c>
      <c r="T469" t="s">
        <v>76</v>
      </c>
      <c r="U469" t="s">
        <v>74</v>
      </c>
      <c r="V469">
        <v>12.97</v>
      </c>
      <c r="W469">
        <v>77.59</v>
      </c>
      <c r="X469">
        <v>5073</v>
      </c>
      <c r="Y469">
        <v>8596</v>
      </c>
      <c r="Z469">
        <v>3328</v>
      </c>
      <c r="AA469">
        <v>7257</v>
      </c>
      <c r="AB469" t="s">
        <v>63</v>
      </c>
    </row>
    <row r="470" spans="1:28" x14ac:dyDescent="0.3">
      <c r="A470">
        <v>1468</v>
      </c>
      <c r="B470" t="s">
        <v>60</v>
      </c>
      <c r="C470" t="s">
        <v>29</v>
      </c>
      <c r="D470" t="s">
        <v>61</v>
      </c>
      <c r="E470" t="s">
        <v>62</v>
      </c>
      <c r="F470" t="s">
        <v>32</v>
      </c>
      <c r="G470" s="1">
        <v>46137</v>
      </c>
      <c r="H470" t="s">
        <v>75</v>
      </c>
      <c r="I470" t="s">
        <v>57</v>
      </c>
      <c r="J470" t="s">
        <v>83</v>
      </c>
      <c r="K470" t="s">
        <v>36</v>
      </c>
      <c r="L470">
        <v>48</v>
      </c>
      <c r="M470">
        <v>11376</v>
      </c>
      <c r="N470">
        <v>7682.18</v>
      </c>
      <c r="O470">
        <v>3693.82</v>
      </c>
      <c r="P470">
        <v>82</v>
      </c>
      <c r="Q470">
        <v>4.5</v>
      </c>
      <c r="R470">
        <v>15</v>
      </c>
      <c r="S470" t="s">
        <v>37</v>
      </c>
      <c r="T470" t="s">
        <v>49</v>
      </c>
      <c r="U470" t="s">
        <v>74</v>
      </c>
      <c r="V470">
        <v>13.08</v>
      </c>
      <c r="W470">
        <v>80.27</v>
      </c>
      <c r="X470">
        <v>10887</v>
      </c>
      <c r="Y470">
        <v>15821</v>
      </c>
      <c r="Z470">
        <v>10212</v>
      </c>
      <c r="AA470">
        <v>12456</v>
      </c>
      <c r="AB470" t="s">
        <v>79</v>
      </c>
    </row>
    <row r="471" spans="1:28" x14ac:dyDescent="0.3">
      <c r="A471">
        <v>1469</v>
      </c>
      <c r="B471" t="s">
        <v>65</v>
      </c>
      <c r="C471" t="s">
        <v>29</v>
      </c>
      <c r="D471" t="s">
        <v>66</v>
      </c>
      <c r="E471" t="s">
        <v>67</v>
      </c>
      <c r="F471" t="s">
        <v>32</v>
      </c>
      <c r="G471" s="1">
        <v>46125</v>
      </c>
      <c r="H471" t="s">
        <v>75</v>
      </c>
      <c r="I471" t="s">
        <v>57</v>
      </c>
      <c r="J471" t="s">
        <v>58</v>
      </c>
      <c r="K471" t="s">
        <v>47</v>
      </c>
      <c r="L471">
        <v>29</v>
      </c>
      <c r="M471">
        <v>10817</v>
      </c>
      <c r="N471">
        <v>8511.25</v>
      </c>
      <c r="O471">
        <v>2305.75</v>
      </c>
      <c r="P471">
        <v>177</v>
      </c>
      <c r="Q471">
        <v>4</v>
      </c>
      <c r="R471">
        <v>10</v>
      </c>
      <c r="S471" t="s">
        <v>37</v>
      </c>
      <c r="T471" t="s">
        <v>49</v>
      </c>
      <c r="U471" t="s">
        <v>74</v>
      </c>
      <c r="V471">
        <v>9.93</v>
      </c>
      <c r="W471">
        <v>76.260000000000005</v>
      </c>
      <c r="X471">
        <v>7654</v>
      </c>
      <c r="Y471">
        <v>12200</v>
      </c>
      <c r="Z471">
        <v>7142</v>
      </c>
      <c r="AA471">
        <v>7248</v>
      </c>
      <c r="AB471" t="s">
        <v>79</v>
      </c>
    </row>
    <row r="472" spans="1:28" x14ac:dyDescent="0.3">
      <c r="A472">
        <v>1470</v>
      </c>
      <c r="B472" t="s">
        <v>50</v>
      </c>
      <c r="C472" t="s">
        <v>29</v>
      </c>
      <c r="D472" t="s">
        <v>51</v>
      </c>
      <c r="E472" t="s">
        <v>52</v>
      </c>
      <c r="F472" t="s">
        <v>53</v>
      </c>
      <c r="G472" s="1">
        <v>46076</v>
      </c>
      <c r="H472" t="s">
        <v>33</v>
      </c>
      <c r="I472" t="s">
        <v>34</v>
      </c>
      <c r="J472" t="s">
        <v>35</v>
      </c>
      <c r="K472" t="s">
        <v>78</v>
      </c>
      <c r="L472">
        <v>47</v>
      </c>
      <c r="M472">
        <v>12032</v>
      </c>
      <c r="N472">
        <v>7417.09</v>
      </c>
      <c r="O472">
        <v>4614.91</v>
      </c>
      <c r="P472">
        <v>128</v>
      </c>
      <c r="Q472">
        <v>4.7</v>
      </c>
      <c r="R472">
        <v>0</v>
      </c>
      <c r="S472" t="s">
        <v>48</v>
      </c>
      <c r="T472" t="s">
        <v>38</v>
      </c>
      <c r="U472" t="s">
        <v>55</v>
      </c>
      <c r="V472">
        <v>19.07</v>
      </c>
      <c r="W472">
        <v>72.87</v>
      </c>
      <c r="X472">
        <v>12257</v>
      </c>
      <c r="Y472">
        <v>15192</v>
      </c>
      <c r="Z472">
        <v>11087</v>
      </c>
      <c r="AA472">
        <v>13065</v>
      </c>
      <c r="AB472" t="s">
        <v>63</v>
      </c>
    </row>
    <row r="473" spans="1:28" x14ac:dyDescent="0.3">
      <c r="A473">
        <v>1471</v>
      </c>
      <c r="B473" t="s">
        <v>28</v>
      </c>
      <c r="C473" t="s">
        <v>29</v>
      </c>
      <c r="D473" t="s">
        <v>30</v>
      </c>
      <c r="E473" t="s">
        <v>31</v>
      </c>
      <c r="F473" t="s">
        <v>32</v>
      </c>
      <c r="G473" s="1">
        <v>46174</v>
      </c>
      <c r="H473" t="s">
        <v>68</v>
      </c>
      <c r="I473" t="s">
        <v>57</v>
      </c>
      <c r="J473" t="s">
        <v>83</v>
      </c>
      <c r="K473" t="s">
        <v>59</v>
      </c>
      <c r="L473">
        <v>22</v>
      </c>
      <c r="M473">
        <v>8536</v>
      </c>
      <c r="N473">
        <v>5678.68</v>
      </c>
      <c r="O473">
        <v>2857.32</v>
      </c>
      <c r="P473">
        <v>141</v>
      </c>
      <c r="Q473">
        <v>3.8</v>
      </c>
      <c r="R473">
        <v>0</v>
      </c>
      <c r="S473" t="s">
        <v>37</v>
      </c>
      <c r="T473" t="s">
        <v>38</v>
      </c>
      <c r="U473" t="s">
        <v>74</v>
      </c>
      <c r="V473">
        <v>12.97</v>
      </c>
      <c r="W473">
        <v>77.59</v>
      </c>
      <c r="X473">
        <v>5333</v>
      </c>
      <c r="Y473">
        <v>7049</v>
      </c>
      <c r="Z473">
        <v>4213</v>
      </c>
      <c r="AA473">
        <v>5847</v>
      </c>
      <c r="AB473" t="s">
        <v>79</v>
      </c>
    </row>
    <row r="474" spans="1:28" x14ac:dyDescent="0.3">
      <c r="A474">
        <v>1472</v>
      </c>
      <c r="B474" t="s">
        <v>60</v>
      </c>
      <c r="C474" t="s">
        <v>29</v>
      </c>
      <c r="D474" t="s">
        <v>61</v>
      </c>
      <c r="E474" t="s">
        <v>62</v>
      </c>
      <c r="F474" t="s">
        <v>32</v>
      </c>
      <c r="G474" s="1">
        <v>46199</v>
      </c>
      <c r="H474" t="s">
        <v>68</v>
      </c>
      <c r="I474" t="s">
        <v>69</v>
      </c>
      <c r="J474" t="s">
        <v>72</v>
      </c>
      <c r="K474" t="s">
        <v>36</v>
      </c>
      <c r="L474">
        <v>31</v>
      </c>
      <c r="M474">
        <v>9672</v>
      </c>
      <c r="N474">
        <v>6324.34</v>
      </c>
      <c r="O474">
        <v>3347.66</v>
      </c>
      <c r="P474">
        <v>188</v>
      </c>
      <c r="Q474">
        <v>4</v>
      </c>
      <c r="R474">
        <v>5</v>
      </c>
      <c r="S474" t="s">
        <v>48</v>
      </c>
      <c r="T474" t="s">
        <v>38</v>
      </c>
      <c r="U474" t="s">
        <v>74</v>
      </c>
      <c r="V474">
        <v>13.08</v>
      </c>
      <c r="W474">
        <v>80.27</v>
      </c>
      <c r="X474">
        <v>12144</v>
      </c>
      <c r="Y474">
        <v>15915</v>
      </c>
      <c r="Z474">
        <v>10294</v>
      </c>
      <c r="AA474">
        <v>10963</v>
      </c>
      <c r="AB474" t="s">
        <v>56</v>
      </c>
    </row>
    <row r="475" spans="1:28" x14ac:dyDescent="0.3">
      <c r="A475">
        <v>1473</v>
      </c>
      <c r="B475" t="s">
        <v>60</v>
      </c>
      <c r="C475" t="s">
        <v>29</v>
      </c>
      <c r="D475" t="s">
        <v>61</v>
      </c>
      <c r="E475" t="s">
        <v>62</v>
      </c>
      <c r="F475" t="s">
        <v>32</v>
      </c>
      <c r="G475" s="1">
        <v>46148</v>
      </c>
      <c r="H475" t="s">
        <v>54</v>
      </c>
      <c r="I475" t="s">
        <v>80</v>
      </c>
      <c r="J475" t="s">
        <v>82</v>
      </c>
      <c r="K475" t="s">
        <v>36</v>
      </c>
      <c r="L475">
        <v>45</v>
      </c>
      <c r="M475">
        <v>15255</v>
      </c>
      <c r="N475">
        <v>9683.65</v>
      </c>
      <c r="O475">
        <v>5571.35</v>
      </c>
      <c r="P475">
        <v>271</v>
      </c>
      <c r="Q475">
        <v>4.3</v>
      </c>
      <c r="R475">
        <v>10</v>
      </c>
      <c r="S475" t="s">
        <v>37</v>
      </c>
      <c r="T475" t="s">
        <v>49</v>
      </c>
      <c r="U475" t="s">
        <v>55</v>
      </c>
      <c r="V475">
        <v>13.08</v>
      </c>
      <c r="W475">
        <v>80.27</v>
      </c>
      <c r="X475">
        <v>6132</v>
      </c>
      <c r="Y475">
        <v>9225</v>
      </c>
      <c r="Z475">
        <v>4487</v>
      </c>
      <c r="AA475">
        <v>8540</v>
      </c>
      <c r="AB475" t="s">
        <v>79</v>
      </c>
    </row>
    <row r="476" spans="1:28" x14ac:dyDescent="0.3">
      <c r="A476">
        <v>1474</v>
      </c>
      <c r="B476" t="s">
        <v>60</v>
      </c>
      <c r="C476" t="s">
        <v>29</v>
      </c>
      <c r="D476" t="s">
        <v>61</v>
      </c>
      <c r="E476" t="s">
        <v>62</v>
      </c>
      <c r="F476" t="s">
        <v>32</v>
      </c>
      <c r="G476" s="1">
        <v>46056</v>
      </c>
      <c r="H476" t="s">
        <v>33</v>
      </c>
      <c r="I476" t="s">
        <v>34</v>
      </c>
      <c r="J476" t="s">
        <v>77</v>
      </c>
      <c r="K476" t="s">
        <v>59</v>
      </c>
      <c r="L476">
        <v>33</v>
      </c>
      <c r="M476">
        <v>9537</v>
      </c>
      <c r="N476">
        <v>6182.03</v>
      </c>
      <c r="O476">
        <v>3354.97</v>
      </c>
      <c r="P476">
        <v>63</v>
      </c>
      <c r="Q476">
        <v>3.7</v>
      </c>
      <c r="R476">
        <v>10</v>
      </c>
      <c r="S476" t="s">
        <v>64</v>
      </c>
      <c r="T476" t="s">
        <v>76</v>
      </c>
      <c r="U476" t="s">
        <v>55</v>
      </c>
      <c r="V476">
        <v>13.08</v>
      </c>
      <c r="W476">
        <v>80.27</v>
      </c>
      <c r="X476">
        <v>6138</v>
      </c>
      <c r="Y476">
        <v>9139</v>
      </c>
      <c r="Z476">
        <v>4716</v>
      </c>
      <c r="AA476">
        <v>5009</v>
      </c>
      <c r="AB476" t="s">
        <v>63</v>
      </c>
    </row>
    <row r="477" spans="1:28" x14ac:dyDescent="0.3">
      <c r="A477">
        <v>1475</v>
      </c>
      <c r="B477" t="s">
        <v>41</v>
      </c>
      <c r="C477" t="s">
        <v>29</v>
      </c>
      <c r="D477" t="s">
        <v>42</v>
      </c>
      <c r="E477" t="s">
        <v>43</v>
      </c>
      <c r="F477" t="s">
        <v>44</v>
      </c>
      <c r="G477" s="1">
        <v>46033</v>
      </c>
      <c r="H477" t="s">
        <v>45</v>
      </c>
      <c r="I477" t="s">
        <v>57</v>
      </c>
      <c r="J477" t="s">
        <v>58</v>
      </c>
      <c r="K477" t="s">
        <v>59</v>
      </c>
      <c r="L477">
        <v>38</v>
      </c>
      <c r="M477">
        <v>6878</v>
      </c>
      <c r="N477">
        <v>4764.83</v>
      </c>
      <c r="O477">
        <v>2113.17</v>
      </c>
      <c r="P477">
        <v>82</v>
      </c>
      <c r="Q477">
        <v>4.7</v>
      </c>
      <c r="R477">
        <v>0</v>
      </c>
      <c r="S477" t="s">
        <v>48</v>
      </c>
      <c r="T477" t="s">
        <v>38</v>
      </c>
      <c r="U477" t="s">
        <v>39</v>
      </c>
      <c r="V477">
        <v>28.61</v>
      </c>
      <c r="W477">
        <v>77.2</v>
      </c>
      <c r="X477">
        <v>6037</v>
      </c>
      <c r="Y477">
        <v>8998</v>
      </c>
      <c r="Z477">
        <v>4137</v>
      </c>
      <c r="AA477">
        <v>6292</v>
      </c>
      <c r="AB477" t="s">
        <v>40</v>
      </c>
    </row>
    <row r="478" spans="1:28" x14ac:dyDescent="0.3">
      <c r="A478">
        <v>1476</v>
      </c>
      <c r="B478" t="s">
        <v>50</v>
      </c>
      <c r="C478" t="s">
        <v>29</v>
      </c>
      <c r="D478" t="s">
        <v>51</v>
      </c>
      <c r="E478" t="s">
        <v>52</v>
      </c>
      <c r="F478" t="s">
        <v>53</v>
      </c>
      <c r="G478" s="1">
        <v>46112</v>
      </c>
      <c r="H478" t="s">
        <v>71</v>
      </c>
      <c r="I478" t="s">
        <v>57</v>
      </c>
      <c r="J478" t="s">
        <v>58</v>
      </c>
      <c r="K478" t="s">
        <v>59</v>
      </c>
      <c r="L478">
        <v>55</v>
      </c>
      <c r="M478">
        <v>14410</v>
      </c>
      <c r="N478">
        <v>10611.04</v>
      </c>
      <c r="O478">
        <v>3798.96</v>
      </c>
      <c r="P478">
        <v>285</v>
      </c>
      <c r="Q478">
        <v>4.2</v>
      </c>
      <c r="R478">
        <v>0</v>
      </c>
      <c r="S478" t="s">
        <v>64</v>
      </c>
      <c r="T478" t="s">
        <v>49</v>
      </c>
      <c r="U478" t="s">
        <v>39</v>
      </c>
      <c r="V478">
        <v>19.07</v>
      </c>
      <c r="W478">
        <v>72.87</v>
      </c>
      <c r="X478">
        <v>13031</v>
      </c>
      <c r="Y478">
        <v>16754</v>
      </c>
      <c r="Z478">
        <v>11894</v>
      </c>
      <c r="AA478">
        <v>15796</v>
      </c>
      <c r="AB478" t="s">
        <v>40</v>
      </c>
    </row>
    <row r="479" spans="1:28" x14ac:dyDescent="0.3">
      <c r="A479">
        <v>1477</v>
      </c>
      <c r="B479" t="s">
        <v>60</v>
      </c>
      <c r="C479" t="s">
        <v>29</v>
      </c>
      <c r="D479" t="s">
        <v>61</v>
      </c>
      <c r="E479" t="s">
        <v>62</v>
      </c>
      <c r="F479" t="s">
        <v>32</v>
      </c>
      <c r="G479" s="1">
        <v>46060</v>
      </c>
      <c r="H479" t="s">
        <v>33</v>
      </c>
      <c r="I479" t="s">
        <v>69</v>
      </c>
      <c r="J479" t="s">
        <v>72</v>
      </c>
      <c r="K479" t="s">
        <v>59</v>
      </c>
      <c r="L479">
        <v>52</v>
      </c>
      <c r="M479">
        <v>14404</v>
      </c>
      <c r="N479">
        <v>9834.1</v>
      </c>
      <c r="O479">
        <v>4569.8999999999996</v>
      </c>
      <c r="P479">
        <v>54</v>
      </c>
      <c r="Q479">
        <v>4.2</v>
      </c>
      <c r="R479">
        <v>0</v>
      </c>
      <c r="S479" t="s">
        <v>64</v>
      </c>
      <c r="T479" t="s">
        <v>76</v>
      </c>
      <c r="U479" t="s">
        <v>74</v>
      </c>
      <c r="V479">
        <v>13.08</v>
      </c>
      <c r="W479">
        <v>80.27</v>
      </c>
      <c r="X479">
        <v>12578</v>
      </c>
      <c r="Y479">
        <v>17346</v>
      </c>
      <c r="Z479">
        <v>10697</v>
      </c>
      <c r="AA479">
        <v>12133</v>
      </c>
      <c r="AB479" t="s">
        <v>63</v>
      </c>
    </row>
    <row r="480" spans="1:28" x14ac:dyDescent="0.3">
      <c r="A480">
        <v>1478</v>
      </c>
      <c r="B480" t="s">
        <v>60</v>
      </c>
      <c r="C480" t="s">
        <v>29</v>
      </c>
      <c r="D480" t="s">
        <v>61</v>
      </c>
      <c r="E480" t="s">
        <v>62</v>
      </c>
      <c r="F480" t="s">
        <v>32</v>
      </c>
      <c r="G480" s="1">
        <v>46038</v>
      </c>
      <c r="H480" t="s">
        <v>45</v>
      </c>
      <c r="I480" t="s">
        <v>57</v>
      </c>
      <c r="J480" t="s">
        <v>58</v>
      </c>
      <c r="K480" t="s">
        <v>47</v>
      </c>
      <c r="L480">
        <v>21</v>
      </c>
      <c r="M480">
        <v>6048</v>
      </c>
      <c r="N480">
        <v>3698.87</v>
      </c>
      <c r="O480">
        <v>2349.13</v>
      </c>
      <c r="P480">
        <v>105</v>
      </c>
      <c r="Q480">
        <v>3.8</v>
      </c>
      <c r="R480">
        <v>10</v>
      </c>
      <c r="S480" t="s">
        <v>64</v>
      </c>
      <c r="T480" t="s">
        <v>49</v>
      </c>
      <c r="U480" t="s">
        <v>74</v>
      </c>
      <c r="V480">
        <v>13.08</v>
      </c>
      <c r="W480">
        <v>80.27</v>
      </c>
      <c r="X480">
        <v>14000</v>
      </c>
      <c r="Y480">
        <v>17541</v>
      </c>
      <c r="Z480">
        <v>13437</v>
      </c>
      <c r="AA480">
        <v>14986</v>
      </c>
      <c r="AB480" t="s">
        <v>56</v>
      </c>
    </row>
    <row r="481" spans="1:28" x14ac:dyDescent="0.3">
      <c r="A481">
        <v>1479</v>
      </c>
      <c r="B481" t="s">
        <v>41</v>
      </c>
      <c r="C481" t="s">
        <v>29</v>
      </c>
      <c r="D481" t="s">
        <v>42</v>
      </c>
      <c r="E481" t="s">
        <v>43</v>
      </c>
      <c r="F481" t="s">
        <v>44</v>
      </c>
      <c r="G481" s="1">
        <v>46083</v>
      </c>
      <c r="H481" t="s">
        <v>71</v>
      </c>
      <c r="I481" t="s">
        <v>57</v>
      </c>
      <c r="J481" t="s">
        <v>83</v>
      </c>
      <c r="K481" t="s">
        <v>59</v>
      </c>
      <c r="L481">
        <v>17</v>
      </c>
      <c r="M481">
        <v>6630</v>
      </c>
      <c r="N481">
        <v>4685.9799999999996</v>
      </c>
      <c r="O481">
        <v>1944.02</v>
      </c>
      <c r="P481">
        <v>129</v>
      </c>
      <c r="Q481">
        <v>3.6</v>
      </c>
      <c r="R481">
        <v>0</v>
      </c>
      <c r="S481" t="s">
        <v>48</v>
      </c>
      <c r="T481" t="s">
        <v>76</v>
      </c>
      <c r="U481" t="s">
        <v>55</v>
      </c>
      <c r="V481">
        <v>28.61</v>
      </c>
      <c r="W481">
        <v>77.2</v>
      </c>
      <c r="X481">
        <v>6595</v>
      </c>
      <c r="Y481">
        <v>9030</v>
      </c>
      <c r="Z481">
        <v>4680</v>
      </c>
      <c r="AA481">
        <v>5008</v>
      </c>
      <c r="AB481" t="s">
        <v>40</v>
      </c>
    </row>
    <row r="482" spans="1:28" x14ac:dyDescent="0.3">
      <c r="A482">
        <v>1480</v>
      </c>
      <c r="B482" t="s">
        <v>50</v>
      </c>
      <c r="C482" t="s">
        <v>29</v>
      </c>
      <c r="D482" t="s">
        <v>51</v>
      </c>
      <c r="E482" t="s">
        <v>52</v>
      </c>
      <c r="F482" t="s">
        <v>53</v>
      </c>
      <c r="G482" s="1">
        <v>46061</v>
      </c>
      <c r="H482" t="s">
        <v>33</v>
      </c>
      <c r="I482" t="s">
        <v>80</v>
      </c>
      <c r="J482" t="s">
        <v>81</v>
      </c>
      <c r="K482" t="s">
        <v>73</v>
      </c>
      <c r="L482">
        <v>15</v>
      </c>
      <c r="M482">
        <v>5430</v>
      </c>
      <c r="N482">
        <v>4327.46</v>
      </c>
      <c r="O482">
        <v>1102.54</v>
      </c>
      <c r="P482">
        <v>241</v>
      </c>
      <c r="Q482">
        <v>3.7</v>
      </c>
      <c r="R482">
        <v>15</v>
      </c>
      <c r="S482" t="s">
        <v>37</v>
      </c>
      <c r="T482" t="s">
        <v>49</v>
      </c>
      <c r="U482" t="s">
        <v>39</v>
      </c>
      <c r="V482">
        <v>19.07</v>
      </c>
      <c r="W482">
        <v>72.87</v>
      </c>
      <c r="X482">
        <v>13736</v>
      </c>
      <c r="Y482">
        <v>15639</v>
      </c>
      <c r="Z482">
        <v>12084</v>
      </c>
      <c r="AA482">
        <v>14691</v>
      </c>
      <c r="AB482" t="s">
        <v>79</v>
      </c>
    </row>
    <row r="483" spans="1:28" x14ac:dyDescent="0.3">
      <c r="A483">
        <v>1481</v>
      </c>
      <c r="B483" t="s">
        <v>50</v>
      </c>
      <c r="C483" t="s">
        <v>29</v>
      </c>
      <c r="D483" t="s">
        <v>51</v>
      </c>
      <c r="E483" t="s">
        <v>52</v>
      </c>
      <c r="F483" t="s">
        <v>53</v>
      </c>
      <c r="G483" s="1">
        <v>46076</v>
      </c>
      <c r="H483" t="s">
        <v>33</v>
      </c>
      <c r="I483" t="s">
        <v>57</v>
      </c>
      <c r="J483" t="s">
        <v>83</v>
      </c>
      <c r="K483" t="s">
        <v>47</v>
      </c>
      <c r="L483">
        <v>30</v>
      </c>
      <c r="M483">
        <v>10950</v>
      </c>
      <c r="N483">
        <v>6277.78</v>
      </c>
      <c r="O483">
        <v>4672.22</v>
      </c>
      <c r="P483">
        <v>199</v>
      </c>
      <c r="Q483">
        <v>3.5</v>
      </c>
      <c r="R483">
        <v>15</v>
      </c>
      <c r="S483" t="s">
        <v>37</v>
      </c>
      <c r="T483" t="s">
        <v>49</v>
      </c>
      <c r="U483" t="s">
        <v>74</v>
      </c>
      <c r="V483">
        <v>19.07</v>
      </c>
      <c r="W483">
        <v>72.87</v>
      </c>
      <c r="X483">
        <v>10595</v>
      </c>
      <c r="Y483">
        <v>12580</v>
      </c>
      <c r="Z483">
        <v>10009</v>
      </c>
      <c r="AA483">
        <v>11640</v>
      </c>
      <c r="AB483" t="s">
        <v>63</v>
      </c>
    </row>
    <row r="484" spans="1:28" x14ac:dyDescent="0.3">
      <c r="A484">
        <v>1482</v>
      </c>
      <c r="B484" t="s">
        <v>65</v>
      </c>
      <c r="C484" t="s">
        <v>29</v>
      </c>
      <c r="D484" t="s">
        <v>66</v>
      </c>
      <c r="E484" t="s">
        <v>67</v>
      </c>
      <c r="F484" t="s">
        <v>32</v>
      </c>
      <c r="G484" s="1">
        <v>46089</v>
      </c>
      <c r="H484" t="s">
        <v>71</v>
      </c>
      <c r="I484" t="s">
        <v>34</v>
      </c>
      <c r="J484" t="s">
        <v>35</v>
      </c>
      <c r="K484" t="s">
        <v>36</v>
      </c>
      <c r="L484">
        <v>58</v>
      </c>
      <c r="M484">
        <v>12064</v>
      </c>
      <c r="N484">
        <v>7773.41</v>
      </c>
      <c r="O484">
        <v>4290.59</v>
      </c>
      <c r="P484">
        <v>109</v>
      </c>
      <c r="Q484">
        <v>3.9</v>
      </c>
      <c r="R484">
        <v>0</v>
      </c>
      <c r="S484" t="s">
        <v>48</v>
      </c>
      <c r="T484" t="s">
        <v>49</v>
      </c>
      <c r="U484" t="s">
        <v>55</v>
      </c>
      <c r="V484">
        <v>9.93</v>
      </c>
      <c r="W484">
        <v>76.260000000000005</v>
      </c>
      <c r="X484">
        <v>8560</v>
      </c>
      <c r="Y484">
        <v>12305</v>
      </c>
      <c r="Z484">
        <v>7491</v>
      </c>
      <c r="AA484">
        <v>9504</v>
      </c>
      <c r="AB484" t="s">
        <v>79</v>
      </c>
    </row>
    <row r="485" spans="1:28" x14ac:dyDescent="0.3">
      <c r="A485">
        <v>1483</v>
      </c>
      <c r="B485" t="s">
        <v>60</v>
      </c>
      <c r="C485" t="s">
        <v>29</v>
      </c>
      <c r="D485" t="s">
        <v>61</v>
      </c>
      <c r="E485" t="s">
        <v>62</v>
      </c>
      <c r="F485" t="s">
        <v>32</v>
      </c>
      <c r="G485" s="1">
        <v>46152</v>
      </c>
      <c r="H485" t="s">
        <v>54</v>
      </c>
      <c r="I485" t="s">
        <v>57</v>
      </c>
      <c r="J485" t="s">
        <v>83</v>
      </c>
      <c r="K485" t="s">
        <v>59</v>
      </c>
      <c r="L485">
        <v>59</v>
      </c>
      <c r="M485">
        <v>12272</v>
      </c>
      <c r="N485">
        <v>8576.34</v>
      </c>
      <c r="O485">
        <v>3695.66</v>
      </c>
      <c r="P485">
        <v>203</v>
      </c>
      <c r="Q485">
        <v>4.7</v>
      </c>
      <c r="R485">
        <v>0</v>
      </c>
      <c r="S485" t="s">
        <v>64</v>
      </c>
      <c r="T485" t="s">
        <v>49</v>
      </c>
      <c r="U485" t="s">
        <v>39</v>
      </c>
      <c r="V485">
        <v>13.08</v>
      </c>
      <c r="W485">
        <v>80.27</v>
      </c>
      <c r="X485">
        <v>12024</v>
      </c>
      <c r="Y485">
        <v>16612</v>
      </c>
      <c r="Z485">
        <v>11517</v>
      </c>
      <c r="AA485">
        <v>12767</v>
      </c>
      <c r="AB485" t="s">
        <v>40</v>
      </c>
    </row>
    <row r="486" spans="1:28" x14ac:dyDescent="0.3">
      <c r="A486">
        <v>1484</v>
      </c>
      <c r="B486" t="s">
        <v>50</v>
      </c>
      <c r="C486" t="s">
        <v>29</v>
      </c>
      <c r="D486" t="s">
        <v>51</v>
      </c>
      <c r="E486" t="s">
        <v>52</v>
      </c>
      <c r="F486" t="s">
        <v>53</v>
      </c>
      <c r="G486" s="1">
        <v>46141</v>
      </c>
      <c r="H486" t="s">
        <v>75</v>
      </c>
      <c r="I486" t="s">
        <v>80</v>
      </c>
      <c r="J486" t="s">
        <v>82</v>
      </c>
      <c r="K486" t="s">
        <v>47</v>
      </c>
      <c r="L486">
        <v>16</v>
      </c>
      <c r="M486">
        <v>3360</v>
      </c>
      <c r="N486">
        <v>1965.05</v>
      </c>
      <c r="O486">
        <v>1394.95</v>
      </c>
      <c r="P486">
        <v>179</v>
      </c>
      <c r="Q486">
        <v>3.9</v>
      </c>
      <c r="R486">
        <v>5</v>
      </c>
      <c r="S486" t="s">
        <v>37</v>
      </c>
      <c r="T486" t="s">
        <v>76</v>
      </c>
      <c r="U486" t="s">
        <v>55</v>
      </c>
      <c r="V486">
        <v>19.07</v>
      </c>
      <c r="W486">
        <v>72.87</v>
      </c>
      <c r="X486">
        <v>7867</v>
      </c>
      <c r="Y486">
        <v>10365</v>
      </c>
      <c r="Z486">
        <v>6688</v>
      </c>
      <c r="AA486">
        <v>7586</v>
      </c>
      <c r="AB486" t="s">
        <v>56</v>
      </c>
    </row>
    <row r="487" spans="1:28" x14ac:dyDescent="0.3">
      <c r="A487">
        <v>1485</v>
      </c>
      <c r="B487" t="s">
        <v>65</v>
      </c>
      <c r="C487" t="s">
        <v>29</v>
      </c>
      <c r="D487" t="s">
        <v>66</v>
      </c>
      <c r="E487" t="s">
        <v>67</v>
      </c>
      <c r="F487" t="s">
        <v>32</v>
      </c>
      <c r="G487" s="1">
        <v>46159</v>
      </c>
      <c r="H487" t="s">
        <v>54</v>
      </c>
      <c r="I487" t="s">
        <v>80</v>
      </c>
      <c r="J487" t="s">
        <v>82</v>
      </c>
      <c r="K487" t="s">
        <v>78</v>
      </c>
      <c r="L487">
        <v>40</v>
      </c>
      <c r="M487">
        <v>7520</v>
      </c>
      <c r="N487">
        <v>4806.7700000000004</v>
      </c>
      <c r="O487">
        <v>2713.23</v>
      </c>
      <c r="P487">
        <v>234</v>
      </c>
      <c r="Q487">
        <v>4.0999999999999996</v>
      </c>
      <c r="R487">
        <v>5</v>
      </c>
      <c r="S487" t="s">
        <v>64</v>
      </c>
      <c r="T487" t="s">
        <v>76</v>
      </c>
      <c r="U487" t="s">
        <v>55</v>
      </c>
      <c r="V487">
        <v>9.93</v>
      </c>
      <c r="W487">
        <v>76.260000000000005</v>
      </c>
      <c r="X487">
        <v>6574</v>
      </c>
      <c r="Y487">
        <v>9057</v>
      </c>
      <c r="Z487">
        <v>4705</v>
      </c>
      <c r="AA487">
        <v>4925</v>
      </c>
      <c r="AB487" t="s">
        <v>79</v>
      </c>
    </row>
    <row r="488" spans="1:28" x14ac:dyDescent="0.3">
      <c r="A488">
        <v>1486</v>
      </c>
      <c r="B488" t="s">
        <v>50</v>
      </c>
      <c r="C488" t="s">
        <v>29</v>
      </c>
      <c r="D488" t="s">
        <v>51</v>
      </c>
      <c r="E488" t="s">
        <v>52</v>
      </c>
      <c r="F488" t="s">
        <v>53</v>
      </c>
      <c r="G488" s="1">
        <v>46106</v>
      </c>
      <c r="H488" t="s">
        <v>71</v>
      </c>
      <c r="I488" t="s">
        <v>57</v>
      </c>
      <c r="J488" t="s">
        <v>83</v>
      </c>
      <c r="K488" t="s">
        <v>47</v>
      </c>
      <c r="L488">
        <v>32</v>
      </c>
      <c r="M488">
        <v>10688</v>
      </c>
      <c r="N488">
        <v>6022.72</v>
      </c>
      <c r="O488">
        <v>4665.28</v>
      </c>
      <c r="P488">
        <v>169</v>
      </c>
      <c r="Q488">
        <v>4.7</v>
      </c>
      <c r="R488">
        <v>10</v>
      </c>
      <c r="S488" t="s">
        <v>64</v>
      </c>
      <c r="T488" t="s">
        <v>76</v>
      </c>
      <c r="U488" t="s">
        <v>74</v>
      </c>
      <c r="V488">
        <v>19.07</v>
      </c>
      <c r="W488">
        <v>72.87</v>
      </c>
      <c r="X488">
        <v>9886</v>
      </c>
      <c r="Y488">
        <v>12114</v>
      </c>
      <c r="Z488">
        <v>9333</v>
      </c>
      <c r="AA488">
        <v>10840</v>
      </c>
      <c r="AB488" t="s">
        <v>79</v>
      </c>
    </row>
    <row r="489" spans="1:28" x14ac:dyDescent="0.3">
      <c r="A489">
        <v>1487</v>
      </c>
      <c r="B489" t="s">
        <v>28</v>
      </c>
      <c r="C489" t="s">
        <v>29</v>
      </c>
      <c r="D489" t="s">
        <v>30</v>
      </c>
      <c r="E489" t="s">
        <v>31</v>
      </c>
      <c r="F489" t="s">
        <v>32</v>
      </c>
      <c r="G489" s="1">
        <v>46033</v>
      </c>
      <c r="H489" t="s">
        <v>45</v>
      </c>
      <c r="I489" t="s">
        <v>34</v>
      </c>
      <c r="J489" t="s">
        <v>46</v>
      </c>
      <c r="K489" t="s">
        <v>59</v>
      </c>
      <c r="L489">
        <v>12</v>
      </c>
      <c r="M489">
        <v>3420</v>
      </c>
      <c r="N489">
        <v>2517.3000000000002</v>
      </c>
      <c r="O489">
        <v>902.7</v>
      </c>
      <c r="P489">
        <v>251</v>
      </c>
      <c r="Q489">
        <v>3.6</v>
      </c>
      <c r="R489">
        <v>5</v>
      </c>
      <c r="S489" t="s">
        <v>37</v>
      </c>
      <c r="T489" t="s">
        <v>76</v>
      </c>
      <c r="U489" t="s">
        <v>55</v>
      </c>
      <c r="V489">
        <v>12.97</v>
      </c>
      <c r="W489">
        <v>77.59</v>
      </c>
      <c r="X489">
        <v>6872</v>
      </c>
      <c r="Y489">
        <v>10389</v>
      </c>
      <c r="Z489">
        <v>6140</v>
      </c>
      <c r="AA489">
        <v>6756</v>
      </c>
      <c r="AB489" t="s">
        <v>56</v>
      </c>
    </row>
    <row r="490" spans="1:28" x14ac:dyDescent="0.3">
      <c r="A490">
        <v>1488</v>
      </c>
      <c r="B490" t="s">
        <v>28</v>
      </c>
      <c r="C490" t="s">
        <v>29</v>
      </c>
      <c r="D490" t="s">
        <v>30</v>
      </c>
      <c r="E490" t="s">
        <v>31</v>
      </c>
      <c r="F490" t="s">
        <v>32</v>
      </c>
      <c r="G490" s="1">
        <v>46055</v>
      </c>
      <c r="H490" t="s">
        <v>33</v>
      </c>
      <c r="I490" t="s">
        <v>69</v>
      </c>
      <c r="J490" t="s">
        <v>70</v>
      </c>
      <c r="K490" t="s">
        <v>73</v>
      </c>
      <c r="L490">
        <v>5</v>
      </c>
      <c r="M490">
        <v>1965</v>
      </c>
      <c r="N490">
        <v>1413.97</v>
      </c>
      <c r="O490">
        <v>551.03</v>
      </c>
      <c r="P490">
        <v>151</v>
      </c>
      <c r="Q490">
        <v>4.7</v>
      </c>
      <c r="R490">
        <v>0</v>
      </c>
      <c r="S490" t="s">
        <v>48</v>
      </c>
      <c r="T490" t="s">
        <v>49</v>
      </c>
      <c r="U490" t="s">
        <v>55</v>
      </c>
      <c r="V490">
        <v>12.97</v>
      </c>
      <c r="W490">
        <v>77.59</v>
      </c>
      <c r="X490">
        <v>9884</v>
      </c>
      <c r="Y490">
        <v>11374</v>
      </c>
      <c r="Z490">
        <v>8509</v>
      </c>
      <c r="AA490">
        <v>10958</v>
      </c>
      <c r="AB490" t="s">
        <v>79</v>
      </c>
    </row>
    <row r="491" spans="1:28" x14ac:dyDescent="0.3">
      <c r="A491">
        <v>1489</v>
      </c>
      <c r="B491" t="s">
        <v>50</v>
      </c>
      <c r="C491" t="s">
        <v>29</v>
      </c>
      <c r="D491" t="s">
        <v>51</v>
      </c>
      <c r="E491" t="s">
        <v>52</v>
      </c>
      <c r="F491" t="s">
        <v>53</v>
      </c>
      <c r="G491" s="1">
        <v>46102</v>
      </c>
      <c r="H491" t="s">
        <v>71</v>
      </c>
      <c r="I491" t="s">
        <v>80</v>
      </c>
      <c r="J491" t="s">
        <v>82</v>
      </c>
      <c r="K491" t="s">
        <v>59</v>
      </c>
      <c r="L491">
        <v>59</v>
      </c>
      <c r="M491">
        <v>14573</v>
      </c>
      <c r="N491">
        <v>9658.1299999999992</v>
      </c>
      <c r="O491">
        <v>4914.87</v>
      </c>
      <c r="P491">
        <v>237</v>
      </c>
      <c r="Q491">
        <v>4.7</v>
      </c>
      <c r="R491">
        <v>10</v>
      </c>
      <c r="S491" t="s">
        <v>64</v>
      </c>
      <c r="T491" t="s">
        <v>38</v>
      </c>
      <c r="U491" t="s">
        <v>39</v>
      </c>
      <c r="V491">
        <v>19.07</v>
      </c>
      <c r="W491">
        <v>72.87</v>
      </c>
      <c r="X491">
        <v>11338</v>
      </c>
      <c r="Y491">
        <v>15818</v>
      </c>
      <c r="Z491">
        <v>9922</v>
      </c>
      <c r="AA491">
        <v>14476</v>
      </c>
      <c r="AB491" t="s">
        <v>63</v>
      </c>
    </row>
    <row r="492" spans="1:28" x14ac:dyDescent="0.3">
      <c r="A492">
        <v>1490</v>
      </c>
      <c r="B492" t="s">
        <v>60</v>
      </c>
      <c r="C492" t="s">
        <v>29</v>
      </c>
      <c r="D492" t="s">
        <v>61</v>
      </c>
      <c r="E492" t="s">
        <v>62</v>
      </c>
      <c r="F492" t="s">
        <v>32</v>
      </c>
      <c r="G492" s="1">
        <v>46038</v>
      </c>
      <c r="H492" t="s">
        <v>45</v>
      </c>
      <c r="I492" t="s">
        <v>34</v>
      </c>
      <c r="J492" t="s">
        <v>46</v>
      </c>
      <c r="K492" t="s">
        <v>36</v>
      </c>
      <c r="L492">
        <v>40</v>
      </c>
      <c r="M492">
        <v>16000</v>
      </c>
      <c r="N492">
        <v>9466.7099999999991</v>
      </c>
      <c r="O492">
        <v>6533.29</v>
      </c>
      <c r="P492">
        <v>235</v>
      </c>
      <c r="Q492">
        <v>4.3</v>
      </c>
      <c r="R492">
        <v>0</v>
      </c>
      <c r="S492" t="s">
        <v>37</v>
      </c>
      <c r="T492" t="s">
        <v>49</v>
      </c>
      <c r="U492" t="s">
        <v>39</v>
      </c>
      <c r="V492">
        <v>13.08</v>
      </c>
      <c r="W492">
        <v>80.27</v>
      </c>
      <c r="X492">
        <v>8662</v>
      </c>
      <c r="Y492">
        <v>10716</v>
      </c>
      <c r="Z492">
        <v>8099</v>
      </c>
      <c r="AA492">
        <v>9090</v>
      </c>
      <c r="AB492" t="s">
        <v>63</v>
      </c>
    </row>
    <row r="493" spans="1:28" x14ac:dyDescent="0.3">
      <c r="A493">
        <v>1491</v>
      </c>
      <c r="B493" t="s">
        <v>60</v>
      </c>
      <c r="C493" t="s">
        <v>29</v>
      </c>
      <c r="D493" t="s">
        <v>61</v>
      </c>
      <c r="E493" t="s">
        <v>62</v>
      </c>
      <c r="F493" t="s">
        <v>32</v>
      </c>
      <c r="G493" s="1">
        <v>46112</v>
      </c>
      <c r="H493" t="s">
        <v>71</v>
      </c>
      <c r="I493" t="s">
        <v>80</v>
      </c>
      <c r="J493" t="s">
        <v>81</v>
      </c>
      <c r="K493" t="s">
        <v>73</v>
      </c>
      <c r="L493">
        <v>8</v>
      </c>
      <c r="M493">
        <v>1912</v>
      </c>
      <c r="N493">
        <v>1125.3800000000001</v>
      </c>
      <c r="O493">
        <v>786.62</v>
      </c>
      <c r="P493">
        <v>154</v>
      </c>
      <c r="Q493">
        <v>4.5</v>
      </c>
      <c r="R493">
        <v>10</v>
      </c>
      <c r="S493" t="s">
        <v>64</v>
      </c>
      <c r="T493" t="s">
        <v>38</v>
      </c>
      <c r="U493" t="s">
        <v>39</v>
      </c>
      <c r="V493">
        <v>13.08</v>
      </c>
      <c r="W493">
        <v>80.27</v>
      </c>
      <c r="X493">
        <v>12154</v>
      </c>
      <c r="Y493">
        <v>13587</v>
      </c>
      <c r="Z493">
        <v>11287</v>
      </c>
      <c r="AA493">
        <v>12478</v>
      </c>
      <c r="AB493" t="s">
        <v>63</v>
      </c>
    </row>
    <row r="494" spans="1:28" x14ac:dyDescent="0.3">
      <c r="A494">
        <v>1492</v>
      </c>
      <c r="B494" t="s">
        <v>41</v>
      </c>
      <c r="C494" t="s">
        <v>29</v>
      </c>
      <c r="D494" t="s">
        <v>42</v>
      </c>
      <c r="E494" t="s">
        <v>43</v>
      </c>
      <c r="F494" t="s">
        <v>44</v>
      </c>
      <c r="G494" s="1">
        <v>46123</v>
      </c>
      <c r="H494" t="s">
        <v>75</v>
      </c>
      <c r="I494" t="s">
        <v>34</v>
      </c>
      <c r="J494" t="s">
        <v>35</v>
      </c>
      <c r="K494" t="s">
        <v>78</v>
      </c>
      <c r="L494">
        <v>27</v>
      </c>
      <c r="M494">
        <v>7020</v>
      </c>
      <c r="N494">
        <v>3981.7</v>
      </c>
      <c r="O494">
        <v>3038.3</v>
      </c>
      <c r="P494">
        <v>272</v>
      </c>
      <c r="Q494">
        <v>4.2</v>
      </c>
      <c r="R494">
        <v>5</v>
      </c>
      <c r="S494" t="s">
        <v>48</v>
      </c>
      <c r="T494" t="s">
        <v>49</v>
      </c>
      <c r="U494" t="s">
        <v>55</v>
      </c>
      <c r="V494">
        <v>28.61</v>
      </c>
      <c r="W494">
        <v>77.2</v>
      </c>
      <c r="X494">
        <v>8799</v>
      </c>
      <c r="Y494">
        <v>11250</v>
      </c>
      <c r="Z494">
        <v>8136</v>
      </c>
      <c r="AA494">
        <v>9028</v>
      </c>
      <c r="AB494" t="s">
        <v>40</v>
      </c>
    </row>
    <row r="495" spans="1:28" x14ac:dyDescent="0.3">
      <c r="A495">
        <v>1493</v>
      </c>
      <c r="B495" t="s">
        <v>28</v>
      </c>
      <c r="C495" t="s">
        <v>29</v>
      </c>
      <c r="D495" t="s">
        <v>30</v>
      </c>
      <c r="E495" t="s">
        <v>31</v>
      </c>
      <c r="F495" t="s">
        <v>32</v>
      </c>
      <c r="G495" s="1">
        <v>46116</v>
      </c>
      <c r="H495" t="s">
        <v>75</v>
      </c>
      <c r="I495" t="s">
        <v>34</v>
      </c>
      <c r="J495" t="s">
        <v>35</v>
      </c>
      <c r="K495" t="s">
        <v>47</v>
      </c>
      <c r="L495">
        <v>50</v>
      </c>
      <c r="M495">
        <v>11500</v>
      </c>
      <c r="N495">
        <v>6726.97</v>
      </c>
      <c r="O495">
        <v>4773.03</v>
      </c>
      <c r="P495">
        <v>58</v>
      </c>
      <c r="Q495">
        <v>4.7</v>
      </c>
      <c r="R495">
        <v>5</v>
      </c>
      <c r="S495" t="s">
        <v>64</v>
      </c>
      <c r="T495" t="s">
        <v>49</v>
      </c>
      <c r="U495" t="s">
        <v>74</v>
      </c>
      <c r="V495">
        <v>12.97</v>
      </c>
      <c r="W495">
        <v>77.59</v>
      </c>
      <c r="X495">
        <v>12598</v>
      </c>
      <c r="Y495">
        <v>13735</v>
      </c>
      <c r="Z495">
        <v>11027</v>
      </c>
      <c r="AA495">
        <v>13309</v>
      </c>
      <c r="AB495" t="s">
        <v>63</v>
      </c>
    </row>
    <row r="496" spans="1:28" x14ac:dyDescent="0.3">
      <c r="A496">
        <v>1494</v>
      </c>
      <c r="B496" t="s">
        <v>28</v>
      </c>
      <c r="C496" t="s">
        <v>29</v>
      </c>
      <c r="D496" t="s">
        <v>30</v>
      </c>
      <c r="E496" t="s">
        <v>31</v>
      </c>
      <c r="F496" t="s">
        <v>32</v>
      </c>
      <c r="G496" s="1">
        <v>46061</v>
      </c>
      <c r="H496" t="s">
        <v>33</v>
      </c>
      <c r="I496" t="s">
        <v>57</v>
      </c>
      <c r="J496" t="s">
        <v>83</v>
      </c>
      <c r="K496" t="s">
        <v>59</v>
      </c>
      <c r="L496">
        <v>42</v>
      </c>
      <c r="M496">
        <v>10878</v>
      </c>
      <c r="N496">
        <v>7330.24</v>
      </c>
      <c r="O496">
        <v>3547.76</v>
      </c>
      <c r="P496">
        <v>112</v>
      </c>
      <c r="Q496">
        <v>3.7</v>
      </c>
      <c r="R496">
        <v>5</v>
      </c>
      <c r="S496" t="s">
        <v>48</v>
      </c>
      <c r="T496" t="s">
        <v>76</v>
      </c>
      <c r="U496" t="s">
        <v>55</v>
      </c>
      <c r="V496">
        <v>12.97</v>
      </c>
      <c r="W496">
        <v>77.59</v>
      </c>
      <c r="X496">
        <v>12355</v>
      </c>
      <c r="Y496">
        <v>16652</v>
      </c>
      <c r="Z496">
        <v>11149</v>
      </c>
      <c r="AA496">
        <v>16257</v>
      </c>
      <c r="AB496" t="s">
        <v>40</v>
      </c>
    </row>
    <row r="497" spans="1:28" x14ac:dyDescent="0.3">
      <c r="A497">
        <v>1495</v>
      </c>
      <c r="B497" t="s">
        <v>65</v>
      </c>
      <c r="C497" t="s">
        <v>29</v>
      </c>
      <c r="D497" t="s">
        <v>66</v>
      </c>
      <c r="E497" t="s">
        <v>67</v>
      </c>
      <c r="F497" t="s">
        <v>32</v>
      </c>
      <c r="G497" s="1">
        <v>46172</v>
      </c>
      <c r="H497" t="s">
        <v>54</v>
      </c>
      <c r="I497" t="s">
        <v>69</v>
      </c>
      <c r="J497" t="s">
        <v>70</v>
      </c>
      <c r="K497" t="s">
        <v>47</v>
      </c>
      <c r="L497">
        <v>46</v>
      </c>
      <c r="M497">
        <v>13800</v>
      </c>
      <c r="N497">
        <v>8978.86</v>
      </c>
      <c r="O497">
        <v>4821.1400000000003</v>
      </c>
      <c r="P497">
        <v>217</v>
      </c>
      <c r="Q497">
        <v>4.7</v>
      </c>
      <c r="R497">
        <v>5</v>
      </c>
      <c r="S497" t="s">
        <v>64</v>
      </c>
      <c r="T497" t="s">
        <v>49</v>
      </c>
      <c r="U497" t="s">
        <v>74</v>
      </c>
      <c r="V497">
        <v>9.93</v>
      </c>
      <c r="W497">
        <v>76.260000000000005</v>
      </c>
      <c r="X497">
        <v>10395</v>
      </c>
      <c r="Y497">
        <v>15043</v>
      </c>
      <c r="Z497">
        <v>8413</v>
      </c>
      <c r="AA497">
        <v>10061</v>
      </c>
      <c r="AB497" t="s">
        <v>63</v>
      </c>
    </row>
    <row r="498" spans="1:28" x14ac:dyDescent="0.3">
      <c r="A498">
        <v>1496</v>
      </c>
      <c r="B498" t="s">
        <v>65</v>
      </c>
      <c r="C498" t="s">
        <v>29</v>
      </c>
      <c r="D498" t="s">
        <v>66</v>
      </c>
      <c r="E498" t="s">
        <v>67</v>
      </c>
      <c r="F498" t="s">
        <v>32</v>
      </c>
      <c r="G498" s="1">
        <v>46120</v>
      </c>
      <c r="H498" t="s">
        <v>75</v>
      </c>
      <c r="I498" t="s">
        <v>34</v>
      </c>
      <c r="J498" t="s">
        <v>35</v>
      </c>
      <c r="K498" t="s">
        <v>36</v>
      </c>
      <c r="L498">
        <v>45</v>
      </c>
      <c r="M498">
        <v>11565</v>
      </c>
      <c r="N498">
        <v>9149.24</v>
      </c>
      <c r="O498">
        <v>2415.7600000000002</v>
      </c>
      <c r="P498">
        <v>82</v>
      </c>
      <c r="Q498">
        <v>3.6</v>
      </c>
      <c r="R498">
        <v>10</v>
      </c>
      <c r="S498" t="s">
        <v>64</v>
      </c>
      <c r="T498" t="s">
        <v>38</v>
      </c>
      <c r="U498" t="s">
        <v>55</v>
      </c>
      <c r="V498">
        <v>9.93</v>
      </c>
      <c r="W498">
        <v>76.260000000000005</v>
      </c>
      <c r="X498">
        <v>13415</v>
      </c>
      <c r="Y498">
        <v>16753</v>
      </c>
      <c r="Z498">
        <v>12094</v>
      </c>
      <c r="AA498">
        <v>15180</v>
      </c>
      <c r="AB498" t="s">
        <v>79</v>
      </c>
    </row>
    <row r="499" spans="1:28" x14ac:dyDescent="0.3">
      <c r="A499">
        <v>1497</v>
      </c>
      <c r="B499" t="s">
        <v>65</v>
      </c>
      <c r="C499" t="s">
        <v>29</v>
      </c>
      <c r="D499" t="s">
        <v>66</v>
      </c>
      <c r="E499" t="s">
        <v>67</v>
      </c>
      <c r="F499" t="s">
        <v>32</v>
      </c>
      <c r="G499" s="1">
        <v>46183</v>
      </c>
      <c r="H499" t="s">
        <v>68</v>
      </c>
      <c r="I499" t="s">
        <v>57</v>
      </c>
      <c r="J499" t="s">
        <v>83</v>
      </c>
      <c r="K499" t="s">
        <v>73</v>
      </c>
      <c r="L499">
        <v>27</v>
      </c>
      <c r="M499">
        <v>5454</v>
      </c>
      <c r="N499">
        <v>4249.97</v>
      </c>
      <c r="O499">
        <v>1204.03</v>
      </c>
      <c r="P499">
        <v>158</v>
      </c>
      <c r="Q499">
        <v>4.2</v>
      </c>
      <c r="R499">
        <v>0</v>
      </c>
      <c r="S499" t="s">
        <v>37</v>
      </c>
      <c r="T499" t="s">
        <v>49</v>
      </c>
      <c r="U499" t="s">
        <v>55</v>
      </c>
      <c r="V499">
        <v>9.93</v>
      </c>
      <c r="W499">
        <v>76.260000000000005</v>
      </c>
      <c r="X499">
        <v>9611</v>
      </c>
      <c r="Y499">
        <v>13724</v>
      </c>
      <c r="Z499">
        <v>8579</v>
      </c>
      <c r="AA499">
        <v>11609</v>
      </c>
      <c r="AB499" t="s">
        <v>79</v>
      </c>
    </row>
    <row r="500" spans="1:28" x14ac:dyDescent="0.3">
      <c r="A500">
        <v>1498</v>
      </c>
      <c r="B500" t="s">
        <v>65</v>
      </c>
      <c r="C500" t="s">
        <v>29</v>
      </c>
      <c r="D500" t="s">
        <v>66</v>
      </c>
      <c r="E500" t="s">
        <v>67</v>
      </c>
      <c r="F500" t="s">
        <v>32</v>
      </c>
      <c r="G500" s="1">
        <v>46200</v>
      </c>
      <c r="H500" t="s">
        <v>68</v>
      </c>
      <c r="I500" t="s">
        <v>57</v>
      </c>
      <c r="J500" t="s">
        <v>83</v>
      </c>
      <c r="K500" t="s">
        <v>36</v>
      </c>
      <c r="L500">
        <v>47</v>
      </c>
      <c r="M500">
        <v>9024</v>
      </c>
      <c r="N500">
        <v>6166.91</v>
      </c>
      <c r="O500">
        <v>2857.09</v>
      </c>
      <c r="P500">
        <v>246</v>
      </c>
      <c r="Q500">
        <v>5</v>
      </c>
      <c r="R500">
        <v>10</v>
      </c>
      <c r="S500" t="s">
        <v>48</v>
      </c>
      <c r="T500" t="s">
        <v>76</v>
      </c>
      <c r="U500" t="s">
        <v>55</v>
      </c>
      <c r="V500">
        <v>9.93</v>
      </c>
      <c r="W500">
        <v>76.260000000000005</v>
      </c>
      <c r="X500">
        <v>7252</v>
      </c>
      <c r="Y500">
        <v>10614</v>
      </c>
      <c r="Z500">
        <v>6590</v>
      </c>
      <c r="AA500">
        <v>8175</v>
      </c>
      <c r="AB500" t="s">
        <v>40</v>
      </c>
    </row>
    <row r="501" spans="1:28" x14ac:dyDescent="0.3">
      <c r="A501">
        <v>1499</v>
      </c>
      <c r="B501" t="s">
        <v>41</v>
      </c>
      <c r="C501" t="s">
        <v>29</v>
      </c>
      <c r="D501" t="s">
        <v>42</v>
      </c>
      <c r="E501" t="s">
        <v>43</v>
      </c>
      <c r="F501" t="s">
        <v>44</v>
      </c>
      <c r="G501" s="1">
        <v>46171</v>
      </c>
      <c r="H501" t="s">
        <v>54</v>
      </c>
      <c r="I501" t="s">
        <v>69</v>
      </c>
      <c r="J501" t="s">
        <v>70</v>
      </c>
      <c r="K501" t="s">
        <v>36</v>
      </c>
      <c r="L501">
        <v>35</v>
      </c>
      <c r="M501">
        <v>8330</v>
      </c>
      <c r="N501">
        <v>5684.87</v>
      </c>
      <c r="O501">
        <v>2645.13</v>
      </c>
      <c r="P501">
        <v>57</v>
      </c>
      <c r="Q501">
        <v>4</v>
      </c>
      <c r="R501">
        <v>5</v>
      </c>
      <c r="S501" t="s">
        <v>37</v>
      </c>
      <c r="T501" t="s">
        <v>49</v>
      </c>
      <c r="U501" t="s">
        <v>74</v>
      </c>
      <c r="V501">
        <v>28.61</v>
      </c>
      <c r="W501">
        <v>77.2</v>
      </c>
      <c r="X501">
        <v>9689</v>
      </c>
      <c r="Y501">
        <v>12529</v>
      </c>
      <c r="Z501">
        <v>8916</v>
      </c>
      <c r="AA501">
        <v>8933</v>
      </c>
      <c r="AB501" t="s">
        <v>40</v>
      </c>
    </row>
  </sheetData>
  <pageMargins left="0.75" right="0.75" top="1" bottom="1" header="0.5" footer="0.5"/>
  <drawing r:id="rId9"/>
  <tableParts count="2"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40A3-0230-4469-B553-2ACBA4B35D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8E2D-1354-442D-A08A-6AD3C17F50CC}">
  <dimension ref="A2:B6"/>
  <sheetViews>
    <sheetView workbookViewId="0">
      <selection activeCell="A2" sqref="A2:B6"/>
    </sheetView>
  </sheetViews>
  <sheetFormatPr defaultRowHeight="14.4" x14ac:dyDescent="0.3"/>
  <sheetData>
    <row r="2" spans="1:2" x14ac:dyDescent="0.3">
      <c r="A2" s="6" t="s">
        <v>42</v>
      </c>
      <c r="B2" s="5">
        <v>862464</v>
      </c>
    </row>
    <row r="3" spans="1:2" x14ac:dyDescent="0.3">
      <c r="A3" s="6" t="s">
        <v>30</v>
      </c>
      <c r="B3" s="5">
        <v>991350</v>
      </c>
    </row>
    <row r="4" spans="1:2" x14ac:dyDescent="0.3">
      <c r="A4" s="6" t="s">
        <v>66</v>
      </c>
      <c r="B4" s="5">
        <v>868822</v>
      </c>
    </row>
    <row r="5" spans="1:2" x14ac:dyDescent="0.3">
      <c r="A5" s="6" t="s">
        <v>51</v>
      </c>
      <c r="B5" s="5">
        <v>1234477</v>
      </c>
    </row>
    <row r="6" spans="1:2" x14ac:dyDescent="0.3">
      <c r="A6" s="6" t="s">
        <v>61</v>
      </c>
      <c r="B6" s="5">
        <v>935394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StarbucksData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suresh</cp:lastModifiedBy>
  <dcterms:created xsi:type="dcterms:W3CDTF">2026-07-30T04:51:00Z</dcterms:created>
  <dcterms:modified xsi:type="dcterms:W3CDTF">2026-07-31T05:53:11Z</dcterms:modified>
</cp:coreProperties>
</file>