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28C868F651A39A/Documents/"/>
    </mc:Choice>
  </mc:AlternateContent>
  <xr:revisionPtr revIDLastSave="594" documentId="8_{9802A2DF-9083-44CD-B46B-94D918E553F6}" xr6:coauthVersionLast="47" xr6:coauthVersionMax="47" xr10:uidLastSave="{182C60BF-6D8C-43E9-AE8A-58DA41D53498}"/>
  <bookViews>
    <workbookView xWindow="-108" yWindow="-108" windowWidth="23256" windowHeight="12456" xr2:uid="{6E8D716A-CC3D-47EE-B9C5-99AF7377E2B0}"/>
  </bookViews>
  <sheets>
    <sheet name="Sheet1" sheetId="3" r:id="rId1"/>
    <sheet name="DASHBOARD" sheetId="1" r:id="rId2"/>
    <sheet name="CONTENTS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" i="1" l="1"/>
  <c r="E3" i="2"/>
  <c r="E4" i="2"/>
  <c r="E5" i="2"/>
  <c r="E6" i="2"/>
  <c r="E7" i="2"/>
</calcChain>
</file>

<file path=xl/sharedStrings.xml><?xml version="1.0" encoding="utf-8"?>
<sst xmlns="http://schemas.openxmlformats.org/spreadsheetml/2006/main" count="456" uniqueCount="127">
  <si>
    <t>Ride_ID</t>
  </si>
  <si>
    <t>Date</t>
  </si>
  <si>
    <t>City</t>
  </si>
  <si>
    <t>Vehicle_Type</t>
  </si>
  <si>
    <t>Trip_Type</t>
  </si>
  <si>
    <t>Customer_Type</t>
  </si>
  <si>
    <t>Payment_Mode</t>
  </si>
  <si>
    <t>Distance_KM</t>
  </si>
  <si>
    <t>Fare_INR</t>
  </si>
  <si>
    <t>Discount_INR</t>
  </si>
  <si>
    <t>Driver_Rating</t>
  </si>
  <si>
    <t>Customer_Rating</t>
  </si>
  <si>
    <t>Trip_Duration_Min</t>
  </si>
  <si>
    <t>Status</t>
  </si>
  <si>
    <t>UBR001</t>
  </si>
  <si>
    <t>Bengaluru</t>
  </si>
  <si>
    <t>UberGo</t>
  </si>
  <si>
    <t>Regular</t>
  </si>
  <si>
    <t>UPI</t>
  </si>
  <si>
    <t>Completed</t>
  </si>
  <si>
    <t>UBR002</t>
  </si>
  <si>
    <t>Mumbai</t>
  </si>
  <si>
    <t>New</t>
  </si>
  <si>
    <t>Card</t>
  </si>
  <si>
    <t>UBR003</t>
  </si>
  <si>
    <t>Delhi</t>
  </si>
  <si>
    <t>UberXL</t>
  </si>
  <si>
    <t>Airport</t>
  </si>
  <si>
    <t>UBR004</t>
  </si>
  <si>
    <t>Hyderabad</t>
  </si>
  <si>
    <t>Cash</t>
  </si>
  <si>
    <t>UBR005</t>
  </si>
  <si>
    <t>Chennai</t>
  </si>
  <si>
    <t>Premier</t>
  </si>
  <si>
    <t>Premium</t>
  </si>
  <si>
    <t>UBR006</t>
  </si>
  <si>
    <t>Pune</t>
  </si>
  <si>
    <t>UBR007</t>
  </si>
  <si>
    <t>Auto</t>
  </si>
  <si>
    <t>UBR008</t>
  </si>
  <si>
    <t>UBR009</t>
  </si>
  <si>
    <t>UBR010</t>
  </si>
  <si>
    <t>Kochi</t>
  </si>
  <si>
    <t>UBR011</t>
  </si>
  <si>
    <t>UBR012</t>
  </si>
  <si>
    <t>UBR013</t>
  </si>
  <si>
    <t>UBR014</t>
  </si>
  <si>
    <t>UBR015</t>
  </si>
  <si>
    <t>UBR016</t>
  </si>
  <si>
    <t>UBR017</t>
  </si>
  <si>
    <t>Cancelled</t>
  </si>
  <si>
    <t>UBR018</t>
  </si>
  <si>
    <t>UBR019</t>
  </si>
  <si>
    <t>UBR020</t>
  </si>
  <si>
    <t>UBR021</t>
  </si>
  <si>
    <t>UBR022</t>
  </si>
  <si>
    <t>UBR023</t>
  </si>
  <si>
    <t>UBR024</t>
  </si>
  <si>
    <t>UBR025</t>
  </si>
  <si>
    <t>UBR026</t>
  </si>
  <si>
    <t>UBR027</t>
  </si>
  <si>
    <t>UBR028</t>
  </si>
  <si>
    <t>UBR029</t>
  </si>
  <si>
    <t>UBR030</t>
  </si>
  <si>
    <t>UBR031</t>
  </si>
  <si>
    <t>UBR032</t>
  </si>
  <si>
    <t>UBR033</t>
  </si>
  <si>
    <t>UBR034</t>
  </si>
  <si>
    <t>UBR035</t>
  </si>
  <si>
    <t>UBR036</t>
  </si>
  <si>
    <t>UBR037</t>
  </si>
  <si>
    <t>UBR038</t>
  </si>
  <si>
    <t>UBR039</t>
  </si>
  <si>
    <t>UBR040</t>
  </si>
  <si>
    <t>UBR041</t>
  </si>
  <si>
    <t>UBR042</t>
  </si>
  <si>
    <t>UBR043</t>
  </si>
  <si>
    <t>UBR044</t>
  </si>
  <si>
    <t>UBR045</t>
  </si>
  <si>
    <t>UBR046</t>
  </si>
  <si>
    <t>UBR047</t>
  </si>
  <si>
    <t>UBR048</t>
  </si>
  <si>
    <t>UBR049</t>
  </si>
  <si>
    <t>UBR050</t>
  </si>
  <si>
    <t>KPI</t>
  </si>
  <si>
    <t>Calculation</t>
  </si>
  <si>
    <t>Total Rides</t>
  </si>
  <si>
    <t>Count of Ride_ID</t>
  </si>
  <si>
    <t>Completed Rides</t>
  </si>
  <si>
    <t>Count where Status = Completed</t>
  </si>
  <si>
    <t>Total Revenue</t>
  </si>
  <si>
    <t>Sum of Fare_INR</t>
  </si>
  <si>
    <t>Average Fare</t>
  </si>
  <si>
    <t>Average of Fare_INR</t>
  </si>
  <si>
    <t>Average Customer Rating</t>
  </si>
  <si>
    <t>Average of Customer_Rating</t>
  </si>
  <si>
    <t>Chart</t>
  </si>
  <si>
    <t>Fields</t>
  </si>
  <si>
    <t>Revenue by City</t>
  </si>
  <si>
    <t>City + Fare</t>
  </si>
  <si>
    <t>Rides by Vehicle Type</t>
  </si>
  <si>
    <t>Vehicle_Type + Count of Ride_ID</t>
  </si>
  <si>
    <t>Daily Revenue Trend</t>
  </si>
  <si>
    <t>Date + Fare</t>
  </si>
  <si>
    <t>Payment Mode Distribution</t>
  </si>
  <si>
    <t>Payment_Mode + Count of Ride_ID</t>
  </si>
  <si>
    <t>Revenue by Trip Type</t>
  </si>
  <si>
    <t>Trip_Type + Fare</t>
  </si>
  <si>
    <t>Customer Type Distribution</t>
  </si>
  <si>
    <t>Customer_Type + Count of Ride_ID</t>
  </si>
  <si>
    <t>Average Rating by Vehicle</t>
  </si>
  <si>
    <t>Vehicle_Type + Customer_Rating</t>
  </si>
  <si>
    <t>Completed vs Cancelled</t>
  </si>
  <si>
    <t>Status + Count of Ride_ID</t>
  </si>
  <si>
    <t>Recommended Slicers</t>
  </si>
  <si>
    <t>Vehicle Type</t>
  </si>
  <si>
    <t>Trip Type</t>
  </si>
  <si>
    <t>Customer Type</t>
  </si>
  <si>
    <t>Payment Mode</t>
  </si>
  <si>
    <t>Column1</t>
  </si>
  <si>
    <t>Column2</t>
  </si>
  <si>
    <t>Column3</t>
  </si>
  <si>
    <t>Row Labels</t>
  </si>
  <si>
    <t>Grand Total</t>
  </si>
  <si>
    <t>Column4</t>
  </si>
  <si>
    <t>Sum of Customer_Rating</t>
  </si>
  <si>
    <t>7+A2+B382:K32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</si>
</sst>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0" fillId="3" borderId="0" xfId="0" applyFill="1"/>
  </cellXfs>
  <cellStyles count="1">
    <cellStyle name="Normal" xfId="0" builtinId="0"/>
  </cellStyles>
  <dxfs count="16"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</dxfs>
  <tableStyles count="1" defaultTableStyle="TableStyleMedium2" defaultPivotStyle="PivotStyleLight16">
    <tableStyle name="Table Style 1" pivot="0" count="0" xr9:uid="{6D102685-6BE2-477A-A588-2B54894986BA}"/>
  </tableStyles>
  <colors>
    <mruColors>
      <color rgb="FF00FF00"/>
      <color rgb="FF080808"/>
      <color rgb="FF003300"/>
      <color rgb="FF33CC33"/>
      <color rgb="FF00CC00"/>
      <color rgb="FF333300"/>
      <color rgb="FFFFFF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[UBER_DASHBOARD.xlsx]CONTENTS!PivotTable1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6">
                  <a:shade val="30000"/>
                  <a:satMod val="115000"/>
                </a:schemeClr>
              </a:gs>
              <a:gs pos="50000">
                <a:schemeClr val="accent6">
                  <a:shade val="67500"/>
                  <a:satMod val="115000"/>
                </a:schemeClr>
              </a:gs>
              <a:gs pos="100000">
                <a:schemeClr val="accent6">
                  <a:shade val="100000"/>
                  <a:satMod val="115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6">
                  <a:shade val="30000"/>
                  <a:satMod val="115000"/>
                </a:schemeClr>
              </a:gs>
              <a:gs pos="50000">
                <a:schemeClr val="accent6">
                  <a:shade val="67500"/>
                  <a:satMod val="115000"/>
                </a:schemeClr>
              </a:gs>
              <a:gs pos="100000">
                <a:schemeClr val="accent6">
                  <a:shade val="100000"/>
                  <a:satMod val="115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6">
                  <a:shade val="30000"/>
                  <a:satMod val="115000"/>
                </a:schemeClr>
              </a:gs>
              <a:gs pos="50000">
                <a:schemeClr val="accent6">
                  <a:shade val="67500"/>
                  <a:satMod val="115000"/>
                </a:schemeClr>
              </a:gs>
              <a:gs pos="100000">
                <a:schemeClr val="accent6">
                  <a:shade val="100000"/>
                  <a:satMod val="115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CONTENTS!$I$3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shade val="30000"/>
                    <a:satMod val="115000"/>
                  </a:schemeClr>
                </a:gs>
                <a:gs pos="50000">
                  <a:schemeClr val="accent6">
                    <a:shade val="67500"/>
                    <a:satMod val="115000"/>
                  </a:schemeClr>
                </a:gs>
                <a:gs pos="100000">
                  <a:schemeClr val="accent6">
                    <a:shade val="100000"/>
                    <a:satMod val="115000"/>
                  </a:schemeClr>
                </a:gs>
              </a:gsLst>
              <a:path path="circle">
                <a:fillToRect t="100000" r="100000"/>
              </a:path>
              <a:tileRect l="-100000" b="-100000"/>
            </a:gradFill>
            <a:ln>
              <a:noFill/>
            </a:ln>
            <a:effectLst/>
            <a:sp3d/>
          </c:spPr>
          <c:invertIfNegative val="0"/>
          <c:cat>
            <c:strRef>
              <c:f>CONTENTS!$H$4:$H$11</c:f>
              <c:strCache>
                <c:ptCount val="7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Kochi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CONTENTS!$I$4:$I$11</c:f>
              <c:numCache>
                <c:formatCode>General</c:formatCode>
                <c:ptCount val="7"/>
                <c:pt idx="0">
                  <c:v>2425</c:v>
                </c:pt>
                <c:pt idx="1">
                  <c:v>2980</c:v>
                </c:pt>
                <c:pt idx="2">
                  <c:v>2895</c:v>
                </c:pt>
                <c:pt idx="3">
                  <c:v>2122</c:v>
                </c:pt>
                <c:pt idx="4">
                  <c:v>1865</c:v>
                </c:pt>
                <c:pt idx="5">
                  <c:v>3525</c:v>
                </c:pt>
                <c:pt idx="6">
                  <c:v>2230</c:v>
                </c:pt>
              </c:numCache>
            </c:numRef>
          </c:val>
          <c:shape val="cone"/>
          <c:extLst>
            <c:ext xmlns:c16="http://schemas.microsoft.com/office/drawing/2014/chart" uri="{C3380CC4-5D6E-409C-BE32-E72D297353CC}">
              <c16:uniqueId val="{00000000-607C-4FD2-9AF0-2BEA1AC73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947968768"/>
        <c:axId val="1628182128"/>
        <c:axId val="0"/>
      </c:bar3DChart>
      <c:catAx>
        <c:axId val="194796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82128"/>
        <c:crosses val="autoZero"/>
        <c:auto val="1"/>
        <c:lblAlgn val="ctr"/>
        <c:lblOffset val="100"/>
        <c:noMultiLvlLbl val="0"/>
      </c:catAx>
      <c:valAx>
        <c:axId val="162818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96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cap="none" spc="50">
          <a:ln w="0"/>
          <a:solidFill>
            <a:schemeClr val="bg2"/>
          </a:solidFill>
          <a:effectLst>
            <a:innerShdw blurRad="63500" dist="50800" dir="13500000">
              <a:srgbClr val="000000">
                <a:alpha val="50000"/>
              </a:srgbClr>
            </a:inn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[UBER_DASHBOARD.xlsx]CONTENTS!PivotTable3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Vehicle</a:t>
            </a:r>
            <a:r>
              <a:rPr lang="en-US" sz="1800" baseline="0"/>
              <a:t> Type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bg2"/>
            </a:solidFill>
          </a:ln>
          <a:effectLst/>
          <a:sp3d contourW="25400">
            <a:contourClr>
              <a:schemeClr val="bg2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shade val="30000"/>
              <a:satMod val="115000"/>
            </a:schemeClr>
          </a:solidFill>
          <a:ln w="25400">
            <a:solidFill>
              <a:schemeClr val="bg2"/>
            </a:solidFill>
          </a:ln>
          <a:effectLst/>
          <a:sp3d contourW="25400">
            <a:contourClr>
              <a:schemeClr val="bg2"/>
            </a:contourClr>
          </a:sp3d>
        </c:spPr>
      </c:pivotFmt>
      <c:pivotFmt>
        <c:idx val="2"/>
        <c:spPr>
          <a:solidFill>
            <a:srgbClr val="92D050">
              <a:shade val="30000"/>
              <a:satMod val="115000"/>
            </a:srgbClr>
          </a:solidFill>
          <a:ln w="25400">
            <a:solidFill>
              <a:schemeClr val="bg2"/>
            </a:solidFill>
          </a:ln>
          <a:effectLst/>
          <a:sp3d contourW="25400">
            <a:contourClr>
              <a:schemeClr val="bg2"/>
            </a:contourClr>
          </a:sp3d>
        </c:spPr>
      </c:pivotFmt>
      <c:pivotFmt>
        <c:idx val="3"/>
        <c:spPr>
          <a:solidFill>
            <a:schemeClr val="accent6">
              <a:lumMod val="20000"/>
              <a:lumOff val="80000"/>
              <a:shade val="30000"/>
              <a:satMod val="115000"/>
            </a:schemeClr>
          </a:solidFill>
          <a:ln w="25400">
            <a:solidFill>
              <a:schemeClr val="bg2"/>
            </a:solidFill>
          </a:ln>
          <a:effectLst/>
          <a:sp3d contourW="25400">
            <a:contourClr>
              <a:schemeClr val="bg2"/>
            </a:contourClr>
          </a:sp3d>
        </c:spPr>
      </c:pivotFmt>
      <c:pivotFmt>
        <c:idx val="4"/>
        <c:spPr>
          <a:solidFill>
            <a:schemeClr val="accent6">
              <a:lumMod val="40000"/>
              <a:lumOff val="60000"/>
            </a:schemeClr>
          </a:solidFill>
          <a:ln w="25400">
            <a:solidFill>
              <a:schemeClr val="bg2"/>
            </a:solidFill>
          </a:ln>
          <a:effectLst/>
          <a:sp3d contourW="25400">
            <a:contourClr>
              <a:schemeClr val="bg2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bg2"/>
            </a:solidFill>
          </a:ln>
          <a:effectLst/>
          <a:sp3d contourW="25400">
            <a:contourClr>
              <a:schemeClr val="bg2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20000"/>
              <a:lumOff val="80000"/>
              <a:shade val="30000"/>
              <a:satMod val="115000"/>
            </a:schemeClr>
          </a:solidFill>
          <a:ln w="25400">
            <a:solidFill>
              <a:schemeClr val="bg2"/>
            </a:solidFill>
          </a:ln>
          <a:effectLst/>
          <a:sp3d contourW="25400">
            <a:contourClr>
              <a:schemeClr val="bg2"/>
            </a:contourClr>
          </a:sp3d>
        </c:spPr>
      </c:pivotFmt>
      <c:pivotFmt>
        <c:idx val="7"/>
        <c:spPr>
          <a:solidFill>
            <a:srgbClr val="92D050">
              <a:shade val="30000"/>
              <a:satMod val="115000"/>
            </a:srgbClr>
          </a:solidFill>
          <a:ln w="25400">
            <a:solidFill>
              <a:schemeClr val="bg2"/>
            </a:solidFill>
          </a:ln>
          <a:effectLst/>
          <a:sp3d contourW="25400">
            <a:contourClr>
              <a:schemeClr val="bg2"/>
            </a:contourClr>
          </a:sp3d>
        </c:spPr>
      </c:pivotFmt>
      <c:pivotFmt>
        <c:idx val="8"/>
        <c:spPr>
          <a:solidFill>
            <a:schemeClr val="accent6">
              <a:shade val="30000"/>
              <a:satMod val="115000"/>
            </a:schemeClr>
          </a:solidFill>
          <a:ln w="25400">
            <a:solidFill>
              <a:schemeClr val="bg2"/>
            </a:solidFill>
          </a:ln>
          <a:effectLst/>
          <a:sp3d contourW="25400">
            <a:contourClr>
              <a:schemeClr val="bg2"/>
            </a:contourClr>
          </a:sp3d>
        </c:spPr>
      </c:pivotFmt>
      <c:pivotFmt>
        <c:idx val="9"/>
        <c:spPr>
          <a:solidFill>
            <a:schemeClr val="accent6">
              <a:lumMod val="40000"/>
              <a:lumOff val="60000"/>
            </a:schemeClr>
          </a:solidFill>
          <a:ln w="25400">
            <a:solidFill>
              <a:schemeClr val="bg2"/>
            </a:solidFill>
          </a:ln>
          <a:effectLst/>
          <a:sp3d contourW="25400">
            <a:contourClr>
              <a:schemeClr val="bg2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bg2"/>
            </a:solidFill>
          </a:ln>
          <a:effectLst/>
          <a:sp3d contourW="25400">
            <a:contourClr>
              <a:schemeClr val="bg2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20000"/>
              <a:lumOff val="80000"/>
              <a:shade val="30000"/>
              <a:satMod val="115000"/>
            </a:schemeClr>
          </a:solidFill>
          <a:ln w="25400">
            <a:solidFill>
              <a:schemeClr val="bg2"/>
            </a:solidFill>
          </a:ln>
          <a:effectLst/>
          <a:sp3d contourW="25400">
            <a:contourClr>
              <a:schemeClr val="bg2"/>
            </a:contourClr>
          </a:sp3d>
        </c:spPr>
      </c:pivotFmt>
      <c:pivotFmt>
        <c:idx val="12"/>
        <c:spPr>
          <a:solidFill>
            <a:srgbClr val="92D050">
              <a:shade val="30000"/>
              <a:satMod val="115000"/>
            </a:srgbClr>
          </a:solidFill>
          <a:ln w="25400">
            <a:solidFill>
              <a:schemeClr val="bg2"/>
            </a:solidFill>
          </a:ln>
          <a:effectLst/>
          <a:sp3d contourW="25400">
            <a:contourClr>
              <a:schemeClr val="bg2"/>
            </a:contourClr>
          </a:sp3d>
        </c:spPr>
      </c:pivotFmt>
      <c:pivotFmt>
        <c:idx val="13"/>
        <c:spPr>
          <a:solidFill>
            <a:schemeClr val="accent6">
              <a:shade val="30000"/>
              <a:satMod val="115000"/>
            </a:schemeClr>
          </a:solidFill>
          <a:ln w="25400">
            <a:solidFill>
              <a:schemeClr val="bg2"/>
            </a:solidFill>
          </a:ln>
          <a:effectLst/>
          <a:sp3d contourW="25400">
            <a:contourClr>
              <a:schemeClr val="bg2"/>
            </a:contourClr>
          </a:sp3d>
        </c:spPr>
      </c:pivotFmt>
      <c:pivotFmt>
        <c:idx val="14"/>
        <c:spPr>
          <a:solidFill>
            <a:schemeClr val="accent6">
              <a:lumMod val="40000"/>
              <a:lumOff val="60000"/>
            </a:schemeClr>
          </a:solidFill>
          <a:ln w="25400">
            <a:solidFill>
              <a:schemeClr val="bg2"/>
            </a:solidFill>
          </a:ln>
          <a:effectLst/>
          <a:sp3d contourW="25400">
            <a:contourClr>
              <a:schemeClr val="bg2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CONTENTS!$L$3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2"/>
              </a:solidFill>
            </a:ln>
          </c:spPr>
          <c:dPt>
            <c:idx val="0"/>
            <c:bubble3D val="0"/>
            <c:spPr>
              <a:solidFill>
                <a:schemeClr val="accent6">
                  <a:lumMod val="20000"/>
                  <a:lumOff val="80000"/>
                  <a:shade val="30000"/>
                  <a:satMod val="115000"/>
                </a:schemeClr>
              </a:solidFill>
              <a:ln w="25400">
                <a:solidFill>
                  <a:schemeClr val="bg2"/>
                </a:solidFill>
              </a:ln>
              <a:effectLst/>
              <a:sp3d contourW="25400">
                <a:contourClr>
                  <a:schemeClr val="bg2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554-4DA6-BCA6-9E0C066AEAFE}"/>
              </c:ext>
            </c:extLst>
          </c:dPt>
          <c:dPt>
            <c:idx val="1"/>
            <c:bubble3D val="0"/>
            <c:spPr>
              <a:solidFill>
                <a:srgbClr val="92D050">
                  <a:shade val="30000"/>
                  <a:satMod val="115000"/>
                </a:srgbClr>
              </a:solidFill>
              <a:ln w="25400">
                <a:solidFill>
                  <a:schemeClr val="bg2"/>
                </a:solidFill>
              </a:ln>
              <a:effectLst/>
              <a:sp3d contourW="25400">
                <a:contourClr>
                  <a:schemeClr val="bg2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554-4DA6-BCA6-9E0C066AEAFE}"/>
              </c:ext>
            </c:extLst>
          </c:dPt>
          <c:dPt>
            <c:idx val="2"/>
            <c:bubble3D val="0"/>
            <c:spPr>
              <a:solidFill>
                <a:schemeClr val="accent6">
                  <a:shade val="30000"/>
                  <a:satMod val="115000"/>
                </a:schemeClr>
              </a:solidFill>
              <a:ln w="25400">
                <a:solidFill>
                  <a:schemeClr val="bg2"/>
                </a:solidFill>
              </a:ln>
              <a:effectLst/>
              <a:sp3d contourW="25400">
                <a:contourClr>
                  <a:schemeClr val="bg2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554-4DA6-BCA6-9E0C066AEAFE}"/>
              </c:ext>
            </c:extLst>
          </c:dPt>
          <c:dPt>
            <c:idx val="3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25400">
                <a:solidFill>
                  <a:schemeClr val="bg2"/>
                </a:solidFill>
              </a:ln>
              <a:effectLst/>
              <a:sp3d contourW="25400">
                <a:contourClr>
                  <a:schemeClr val="bg2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554-4DA6-BCA6-9E0C066AEAFE}"/>
              </c:ext>
            </c:extLst>
          </c:dPt>
          <c:cat>
            <c:strRef>
              <c:f>CONTENTS!$K$4:$K$8</c:f>
              <c:strCache>
                <c:ptCount val="4"/>
                <c:pt idx="0">
                  <c:v>Auto</c:v>
                </c:pt>
                <c:pt idx="1">
                  <c:v>Premier</c:v>
                </c:pt>
                <c:pt idx="2">
                  <c:v>UberGo</c:v>
                </c:pt>
                <c:pt idx="3">
                  <c:v>UberXL</c:v>
                </c:pt>
              </c:strCache>
            </c:strRef>
          </c:cat>
          <c:val>
            <c:numRef>
              <c:f>CONTENTS!$L$4:$L$8</c:f>
              <c:numCache>
                <c:formatCode>General</c:formatCode>
                <c:ptCount val="4"/>
                <c:pt idx="0">
                  <c:v>9</c:v>
                </c:pt>
                <c:pt idx="1">
                  <c:v>8</c:v>
                </c:pt>
                <c:pt idx="2">
                  <c:v>25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54-4DA6-BCA6-9E0C066AE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cap="none" spc="50">
          <a:ln w="0"/>
          <a:solidFill>
            <a:schemeClr val="bg2"/>
          </a:solidFill>
          <a:effectLst>
            <a:innerShdw blurRad="63500" dist="50800" dir="13500000">
              <a:srgbClr val="000000">
                <a:alpha val="50000"/>
              </a:srgbClr>
            </a:inn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[UBER_DASHBOARD.xlsx]CONTENTS!PivotTable4</c:name>
    <c:fmtId val="7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Daily</a:t>
            </a:r>
            <a:r>
              <a:rPr lang="en-IN" sz="1800" baseline="0"/>
              <a:t> Revenue</a:t>
            </a:r>
            <a:endParaRPr lang="en-IN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00CC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CC00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CC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CC00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CC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CC00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5593571258833342"/>
          <c:y val="0.26001808223124134"/>
          <c:w val="0.68499203520937391"/>
          <c:h val="0.5204630334789937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CONTENTS!$F$13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CC00"/>
            </a:solidFill>
            <a:ln>
              <a:noFill/>
            </a:ln>
            <a:effectLst/>
            <a:sp3d/>
          </c:spPr>
          <c:invertIfNegative val="0"/>
          <c:dPt>
            <c:idx val="8"/>
            <c:invertIfNegative val="0"/>
            <c:bubble3D val="0"/>
            <c:spPr>
              <a:solidFill>
                <a:srgbClr val="00CC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9B02-41F0-9565-3227DAC19B8B}"/>
              </c:ext>
            </c:extLst>
          </c:dPt>
          <c:dLbls>
            <c:dLbl>
              <c:idx val="8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02-41F0-9565-3227DAC19B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CONTENTS!$E$14:$E$23</c:f>
              <c:strCache>
                <c:ptCount val="9"/>
                <c:pt idx="0">
                  <c:v>01-Aug-26</c:v>
                </c:pt>
                <c:pt idx="1">
                  <c:v>02-Aug-26</c:v>
                </c:pt>
                <c:pt idx="2">
                  <c:v>03-Aug-26</c:v>
                </c:pt>
                <c:pt idx="3">
                  <c:v>04-Aug-26</c:v>
                </c:pt>
                <c:pt idx="4">
                  <c:v>05-Aug-26</c:v>
                </c:pt>
                <c:pt idx="5">
                  <c:v>06-Aug-26</c:v>
                </c:pt>
                <c:pt idx="6">
                  <c:v>07-Aug-26</c:v>
                </c:pt>
                <c:pt idx="7">
                  <c:v>08-Aug-26</c:v>
                </c:pt>
                <c:pt idx="8">
                  <c:v>09-Aug-26</c:v>
                </c:pt>
              </c:strCache>
            </c:strRef>
          </c:cat>
          <c:val>
            <c:numRef>
              <c:f>CONTENTS!$F$14:$F$23</c:f>
              <c:numCache>
                <c:formatCode>General</c:formatCode>
                <c:ptCount val="9"/>
                <c:pt idx="0">
                  <c:v>1950</c:v>
                </c:pt>
                <c:pt idx="1">
                  <c:v>2040</c:v>
                </c:pt>
                <c:pt idx="2">
                  <c:v>2215</c:v>
                </c:pt>
                <c:pt idx="3">
                  <c:v>2385</c:v>
                </c:pt>
                <c:pt idx="4">
                  <c:v>1570</c:v>
                </c:pt>
                <c:pt idx="5">
                  <c:v>1965</c:v>
                </c:pt>
                <c:pt idx="6">
                  <c:v>2505</c:v>
                </c:pt>
                <c:pt idx="7">
                  <c:v>2167</c:v>
                </c:pt>
                <c:pt idx="8">
                  <c:v>1245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02-41F0-9565-3227DAC19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04846960"/>
        <c:axId val="2133781616"/>
        <c:axId val="0"/>
      </c:bar3DChart>
      <c:catAx>
        <c:axId val="2004846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781616"/>
        <c:crosses val="autoZero"/>
        <c:auto val="1"/>
        <c:lblAlgn val="ctr"/>
        <c:lblOffset val="100"/>
        <c:noMultiLvlLbl val="0"/>
      </c:catAx>
      <c:valAx>
        <c:axId val="213378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84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12700" cap="flat" cmpd="sng" algn="ctr">
      <a:solidFill>
        <a:schemeClr val="bg2"/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[UBER_DASHBOARD.xlsx]CONTENTS!PivotTable5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Pyment</a:t>
            </a:r>
            <a:r>
              <a:rPr lang="en-US" sz="1800" baseline="0"/>
              <a:t> Type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3CC33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3CC33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33CC33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CONTENTS!$I$14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33CC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1E-4699-AD94-D1278897A4A4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1E-4699-AD94-D1278897A4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1E-4699-AD94-D1278897A4A4}"/>
              </c:ext>
            </c:extLst>
          </c:dPt>
          <c:cat>
            <c:strRef>
              <c:f>CONTENTS!$H$15:$H$18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CONTENTS!$I$15:$I$18</c:f>
              <c:numCache>
                <c:formatCode>General</c:formatCode>
                <c:ptCount val="3"/>
                <c:pt idx="0">
                  <c:v>17</c:v>
                </c:pt>
                <c:pt idx="1">
                  <c:v>10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1E-4699-AD94-D1278897A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cap="none" spc="50">
          <a:ln w="0"/>
          <a:solidFill>
            <a:schemeClr val="bg2"/>
          </a:solidFill>
          <a:effectLst>
            <a:innerShdw blurRad="63500" dist="50800" dir="13500000">
              <a:srgbClr val="000000">
                <a:alpha val="50000"/>
              </a:srgbClr>
            </a:inn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[UBER_DASHBOARD.xlsx]CONTENTS!PivotTable6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Trip</a:t>
            </a:r>
            <a:r>
              <a:rPr lang="en-US" sz="1800" baseline="0"/>
              <a:t> Type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33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00330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33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33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0033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33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8507436632359212"/>
          <c:y val="0.24075699993515642"/>
          <c:w val="0.39794268865332688"/>
          <c:h val="0.67878483197696038"/>
        </c:manualLayout>
      </c:layout>
      <c:pieChart>
        <c:varyColors val="1"/>
        <c:ser>
          <c:idx val="0"/>
          <c:order val="0"/>
          <c:tx>
            <c:strRef>
              <c:f>CONTENTS!$L$12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3300"/>
            </a:solidFill>
          </c:spPr>
          <c:dPt>
            <c:idx val="0"/>
            <c:bubble3D val="0"/>
            <c:spPr>
              <a:solidFill>
                <a:srgbClr val="0033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D0-4429-89A9-419D8F854FBF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D0-4429-89A9-419D8F854FBF}"/>
              </c:ext>
            </c:extLst>
          </c:dPt>
          <c:cat>
            <c:strRef>
              <c:f>CONTENTS!$K$13:$K$15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CONTENTS!$L$13:$L$15</c:f>
              <c:numCache>
                <c:formatCode>General</c:formatCode>
                <c:ptCount val="2"/>
                <c:pt idx="0">
                  <c:v>8400</c:v>
                </c:pt>
                <c:pt idx="1">
                  <c:v>9642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D0-4429-89A9-419D8F854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cap="none" spc="50">
          <a:ln w="0"/>
          <a:solidFill>
            <a:schemeClr val="bg2"/>
          </a:solidFill>
          <a:effectLst>
            <a:innerShdw blurRad="63500" dist="50800" dir="13500000">
              <a:srgbClr val="000000">
                <a:alpha val="50000"/>
              </a:srgbClr>
            </a:inn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[UBER_DASHBOARD.xlsx]CONTENTS!PivotTable7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Customer</a:t>
            </a:r>
            <a:r>
              <a:rPr lang="en-US" sz="1800" baseline="0"/>
              <a:t> Type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FF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FF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FF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2352337289417881E-2"/>
          <c:y val="0.24700534041133856"/>
          <c:w val="0.71443637648374014"/>
          <c:h val="0.52480490314915273"/>
        </c:manualLayout>
      </c:layout>
      <c:line3DChart>
        <c:grouping val="standard"/>
        <c:varyColors val="0"/>
        <c:ser>
          <c:idx val="0"/>
          <c:order val="0"/>
          <c:tx>
            <c:strRef>
              <c:f>CONTENTS!$O$11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FF00"/>
            </a:solidFill>
            <a:ln>
              <a:noFill/>
            </a:ln>
            <a:effectLst/>
            <a:sp3d/>
          </c:spPr>
          <c:cat>
            <c:strRef>
              <c:f>CONTENTS!$N$12:$N$15</c:f>
              <c:strCache>
                <c:ptCount val="3"/>
                <c:pt idx="0">
                  <c:v>New</c:v>
                </c:pt>
                <c:pt idx="1">
                  <c:v>Premium</c:v>
                </c:pt>
                <c:pt idx="2">
                  <c:v>Regular</c:v>
                </c:pt>
              </c:strCache>
            </c:strRef>
          </c:cat>
          <c:val>
            <c:numRef>
              <c:f>CONTENTS!$O$12:$O$15</c:f>
              <c:numCache>
                <c:formatCode>General</c:formatCode>
                <c:ptCount val="3"/>
                <c:pt idx="0">
                  <c:v>13</c:v>
                </c:pt>
                <c:pt idx="1">
                  <c:v>11</c:v>
                </c:pt>
                <c:pt idx="2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F9-45FC-A097-BC4CBAFEF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539327"/>
        <c:axId val="1498031759"/>
        <c:axId val="972968047"/>
      </c:line3DChart>
      <c:catAx>
        <c:axId val="17265393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31759"/>
        <c:crosses val="autoZero"/>
        <c:auto val="1"/>
        <c:lblAlgn val="ctr"/>
        <c:lblOffset val="100"/>
        <c:noMultiLvlLbl val="0"/>
      </c:catAx>
      <c:valAx>
        <c:axId val="14980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539327"/>
        <c:crosses val="autoZero"/>
        <c:crossBetween val="between"/>
      </c:valAx>
      <c:serAx>
        <c:axId val="97296804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31759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cap="none" spc="50">
          <a:ln w="0"/>
          <a:solidFill>
            <a:schemeClr val="bg2"/>
          </a:solidFill>
          <a:effectLst>
            <a:innerShdw blurRad="63500" dist="50800" dir="13500000">
              <a:srgbClr val="000000">
                <a:alpha val="50000"/>
              </a:srgbClr>
            </a:inn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[UBER_DASHBOARD.xlsx]CONTENTS!PivotTable8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/>
              <a:t>Customer</a:t>
            </a:r>
            <a:r>
              <a:rPr lang="en-US" sz="1800" b="1" baseline="0"/>
              <a:t> Rating</a:t>
            </a:r>
            <a:endParaRPr lang="en-US" sz="1800" b="1"/>
          </a:p>
        </c:rich>
      </c:tx>
      <c:layout>
        <c:manualLayout>
          <c:xMode val="edge"/>
          <c:yMode val="edge"/>
          <c:x val="0.3519176908847097"/>
          <c:y val="0.107806735517215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10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11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CONTENTS!$I$22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3">
                    <a:lumMod val="60000"/>
                    <a:lumOff val="40000"/>
                  </a:schemeClr>
                </a:solidFill>
                <a:ln w="9525">
                  <a:solidFill>
                    <a:schemeClr val="accent3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FD-4E3B-9BF2-F9F22CD63E24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3">
                    <a:lumMod val="60000"/>
                    <a:lumOff val="40000"/>
                  </a:schemeClr>
                </a:solidFill>
                <a:ln w="9525">
                  <a:solidFill>
                    <a:schemeClr val="accent3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BFD-4E3B-9BF2-F9F22CD63E24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3">
                    <a:lumMod val="60000"/>
                    <a:lumOff val="40000"/>
                  </a:schemeClr>
                </a:solidFill>
                <a:ln w="9525">
                  <a:solidFill>
                    <a:schemeClr val="accent3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BFD-4E3B-9BF2-F9F22CD63E24}"/>
              </c:ext>
            </c:extLst>
          </c:dPt>
          <c:cat>
            <c:strRef>
              <c:f>CONTENTS!$H$23:$H$27</c:f>
              <c:strCache>
                <c:ptCount val="4"/>
                <c:pt idx="0">
                  <c:v>Auto</c:v>
                </c:pt>
                <c:pt idx="1">
                  <c:v>Premier</c:v>
                </c:pt>
                <c:pt idx="2">
                  <c:v>UberGo</c:v>
                </c:pt>
                <c:pt idx="3">
                  <c:v>UberXL</c:v>
                </c:pt>
              </c:strCache>
            </c:strRef>
          </c:cat>
          <c:val>
            <c:numRef>
              <c:f>CONTENTS!$I$23:$I$27</c:f>
              <c:numCache>
                <c:formatCode>General</c:formatCode>
                <c:ptCount val="4"/>
                <c:pt idx="0">
                  <c:v>38.5</c:v>
                </c:pt>
                <c:pt idx="1">
                  <c:v>38.799999999999997</c:v>
                </c:pt>
                <c:pt idx="2">
                  <c:v>112.89999999999999</c:v>
                </c:pt>
                <c:pt idx="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BFD-4E3B-9BF2-F9F22CD63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1094335"/>
        <c:axId val="1498044719"/>
      </c:lineChart>
      <c:catAx>
        <c:axId val="164109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44719"/>
        <c:crosses val="autoZero"/>
        <c:auto val="1"/>
        <c:lblAlgn val="ctr"/>
        <c:lblOffset val="100"/>
        <c:noMultiLvlLbl val="0"/>
      </c:catAx>
      <c:valAx>
        <c:axId val="149804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09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cap="none" spc="50">
          <a:ln w="0"/>
          <a:solidFill>
            <a:schemeClr val="bg2"/>
          </a:solidFill>
          <a:effectLst>
            <a:innerShdw blurRad="63500" dist="50800" dir="13500000">
              <a:srgbClr val="000000">
                <a:alpha val="50000"/>
              </a:srgbClr>
            </a:inn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[UBER_DASHBOARD.xlsx]CONTENTS!PivotTable9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Completed VS Cancelled </a:t>
            </a:r>
          </a:p>
        </c:rich>
      </c:tx>
      <c:layout>
        <c:manualLayout>
          <c:xMode val="edge"/>
          <c:yMode val="edge"/>
          <c:x val="0.3250155387844732"/>
          <c:y val="0.103193156850131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7684548857309377E-2"/>
          <c:y val="0.25335091155585759"/>
          <c:w val="0.6899790755560844"/>
          <c:h val="0.52191473329487159"/>
        </c:manualLayout>
      </c:layout>
      <c:area3DChart>
        <c:grouping val="standard"/>
        <c:varyColors val="0"/>
        <c:ser>
          <c:idx val="0"/>
          <c:order val="0"/>
          <c:tx>
            <c:strRef>
              <c:f>CONTENTS!$L$22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  <a:sp3d/>
          </c:spPr>
          <c:cat>
            <c:strRef>
              <c:f>CONTENTS!$K$23:$K$25</c:f>
              <c:strCache>
                <c:ptCount val="2"/>
                <c:pt idx="0">
                  <c:v>Cancelled</c:v>
                </c:pt>
                <c:pt idx="1">
                  <c:v>Completed</c:v>
                </c:pt>
              </c:strCache>
            </c:strRef>
          </c:cat>
          <c:val>
            <c:numRef>
              <c:f>CONTENTS!$L$23:$L$25</c:f>
              <c:numCache>
                <c:formatCode>General</c:formatCode>
                <c:ptCount val="2"/>
                <c:pt idx="0">
                  <c:v>3</c:v>
                </c:pt>
                <c:pt idx="1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1-4BFA-A7B9-D88B7B3F1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106607"/>
        <c:axId val="972819087"/>
        <c:axId val="972961327"/>
      </c:area3DChart>
      <c:catAx>
        <c:axId val="1123106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19087"/>
        <c:crosses val="autoZero"/>
        <c:auto val="1"/>
        <c:lblAlgn val="ctr"/>
        <c:lblOffset val="100"/>
        <c:noMultiLvlLbl val="0"/>
      </c:catAx>
      <c:valAx>
        <c:axId val="97281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106607"/>
        <c:crosses val="autoZero"/>
        <c:crossBetween val="midCat"/>
      </c:valAx>
      <c:serAx>
        <c:axId val="97296132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1908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cap="none" spc="50">
          <a:ln w="0"/>
          <a:solidFill>
            <a:schemeClr val="bg2"/>
          </a:solidFill>
          <a:effectLst>
            <a:innerShdw blurRad="63500" dist="50800" dir="13500000">
              <a:srgbClr val="000000">
                <a:alpha val="50000"/>
              </a:srgbClr>
            </a:inn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[UBER_DASHBOARD.xlsx]CONTENTS!PivotTable1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6">
                  <a:shade val="30000"/>
                  <a:satMod val="115000"/>
                </a:schemeClr>
              </a:gs>
              <a:gs pos="50000">
                <a:schemeClr val="accent6">
                  <a:shade val="67500"/>
                  <a:satMod val="115000"/>
                </a:schemeClr>
              </a:gs>
              <a:gs pos="100000">
                <a:schemeClr val="accent6">
                  <a:shade val="100000"/>
                  <a:satMod val="115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CONTENTS!$I$3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shade val="30000"/>
                    <a:satMod val="115000"/>
                  </a:schemeClr>
                </a:gs>
                <a:gs pos="50000">
                  <a:schemeClr val="accent6">
                    <a:shade val="67500"/>
                    <a:satMod val="115000"/>
                  </a:schemeClr>
                </a:gs>
                <a:gs pos="100000">
                  <a:schemeClr val="accent6">
                    <a:shade val="100000"/>
                    <a:satMod val="115000"/>
                  </a:schemeClr>
                </a:gs>
              </a:gsLst>
              <a:path path="circle">
                <a:fillToRect t="100000" r="100000"/>
              </a:path>
              <a:tileRect l="-100000" b="-100000"/>
            </a:gradFill>
            <a:ln>
              <a:noFill/>
            </a:ln>
            <a:effectLst/>
            <a:sp3d/>
          </c:spPr>
          <c:invertIfNegative val="0"/>
          <c:cat>
            <c:strRef>
              <c:f>CONTENTS!$H$4:$H$11</c:f>
              <c:strCache>
                <c:ptCount val="7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Kochi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CONTENTS!$I$4:$I$11</c:f>
              <c:numCache>
                <c:formatCode>General</c:formatCode>
                <c:ptCount val="7"/>
                <c:pt idx="0">
                  <c:v>2425</c:v>
                </c:pt>
                <c:pt idx="1">
                  <c:v>2980</c:v>
                </c:pt>
                <c:pt idx="2">
                  <c:v>2895</c:v>
                </c:pt>
                <c:pt idx="3">
                  <c:v>2122</c:v>
                </c:pt>
                <c:pt idx="4">
                  <c:v>1865</c:v>
                </c:pt>
                <c:pt idx="5">
                  <c:v>3525</c:v>
                </c:pt>
                <c:pt idx="6">
                  <c:v>2230</c:v>
                </c:pt>
              </c:numCache>
            </c:numRef>
          </c:val>
          <c:shape val="cone"/>
          <c:extLst>
            <c:ext xmlns:c16="http://schemas.microsoft.com/office/drawing/2014/chart" uri="{C3380CC4-5D6E-409C-BE32-E72D297353CC}">
              <c16:uniqueId val="{00000000-0DC3-4FB5-B61D-28BB5E3C6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947968768"/>
        <c:axId val="1628182128"/>
        <c:axId val="0"/>
      </c:bar3DChart>
      <c:catAx>
        <c:axId val="194796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82128"/>
        <c:crosses val="autoZero"/>
        <c:auto val="1"/>
        <c:lblAlgn val="ctr"/>
        <c:lblOffset val="100"/>
        <c:noMultiLvlLbl val="0"/>
      </c:catAx>
      <c:valAx>
        <c:axId val="162818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96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cap="none" spc="50">
          <a:ln w="0"/>
          <a:solidFill>
            <a:schemeClr val="bg2"/>
          </a:solidFill>
          <a:effectLst>
            <a:innerShdw blurRad="63500" dist="50800" dir="13500000">
              <a:srgbClr val="000000">
                <a:alpha val="50000"/>
              </a:srgbClr>
            </a:inn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[UBER_DASHBOARD.xlsx]CONTENTS!PivotTable3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bg2"/>
            </a:solidFill>
          </a:ln>
          <a:effectLst/>
          <a:sp3d contourW="25400">
            <a:contourClr>
              <a:schemeClr val="bg2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shade val="30000"/>
              <a:satMod val="115000"/>
            </a:schemeClr>
          </a:solidFill>
          <a:ln w="25400">
            <a:solidFill>
              <a:schemeClr val="bg2"/>
            </a:solidFill>
          </a:ln>
          <a:effectLst/>
          <a:sp3d contourW="25400">
            <a:contourClr>
              <a:schemeClr val="bg2"/>
            </a:contourClr>
          </a:sp3d>
        </c:spPr>
      </c:pivotFmt>
      <c:pivotFmt>
        <c:idx val="2"/>
        <c:spPr>
          <a:solidFill>
            <a:srgbClr val="92D050">
              <a:shade val="30000"/>
              <a:satMod val="115000"/>
            </a:srgbClr>
          </a:solidFill>
          <a:ln w="25400">
            <a:solidFill>
              <a:schemeClr val="bg2"/>
            </a:solidFill>
          </a:ln>
          <a:effectLst/>
          <a:sp3d contourW="25400">
            <a:contourClr>
              <a:schemeClr val="bg2"/>
            </a:contourClr>
          </a:sp3d>
        </c:spPr>
      </c:pivotFmt>
      <c:pivotFmt>
        <c:idx val="3"/>
        <c:spPr>
          <a:solidFill>
            <a:schemeClr val="accent6">
              <a:lumMod val="20000"/>
              <a:lumOff val="80000"/>
              <a:shade val="30000"/>
              <a:satMod val="115000"/>
            </a:schemeClr>
          </a:solidFill>
          <a:ln w="25400">
            <a:solidFill>
              <a:schemeClr val="bg2"/>
            </a:solidFill>
          </a:ln>
          <a:effectLst/>
          <a:sp3d contourW="25400">
            <a:contourClr>
              <a:schemeClr val="bg2"/>
            </a:contourClr>
          </a:sp3d>
        </c:spPr>
      </c:pivotFmt>
      <c:pivotFmt>
        <c:idx val="4"/>
        <c:spPr>
          <a:solidFill>
            <a:schemeClr val="accent6">
              <a:lumMod val="40000"/>
              <a:lumOff val="60000"/>
            </a:schemeClr>
          </a:solidFill>
          <a:ln w="25400">
            <a:solidFill>
              <a:schemeClr val="bg2"/>
            </a:solidFill>
          </a:ln>
          <a:effectLst/>
          <a:sp3d contourW="25400">
            <a:contourClr>
              <a:schemeClr val="bg2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CONTENTS!$L$3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2"/>
              </a:solidFill>
            </a:ln>
          </c:spPr>
          <c:dPt>
            <c:idx val="0"/>
            <c:bubble3D val="0"/>
            <c:spPr>
              <a:solidFill>
                <a:schemeClr val="accent6">
                  <a:lumMod val="20000"/>
                  <a:lumOff val="80000"/>
                  <a:shade val="30000"/>
                  <a:satMod val="115000"/>
                </a:schemeClr>
              </a:solidFill>
              <a:ln w="25400">
                <a:solidFill>
                  <a:schemeClr val="bg2"/>
                </a:solidFill>
              </a:ln>
              <a:effectLst/>
              <a:sp3d contourW="25400">
                <a:contourClr>
                  <a:schemeClr val="bg2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AD59-4C06-89B5-A0F03121A9E9}"/>
              </c:ext>
            </c:extLst>
          </c:dPt>
          <c:dPt>
            <c:idx val="1"/>
            <c:bubble3D val="0"/>
            <c:spPr>
              <a:solidFill>
                <a:srgbClr val="92D050">
                  <a:shade val="30000"/>
                  <a:satMod val="115000"/>
                </a:srgbClr>
              </a:solidFill>
              <a:ln w="25400">
                <a:solidFill>
                  <a:schemeClr val="bg2"/>
                </a:solidFill>
              </a:ln>
              <a:effectLst/>
              <a:sp3d contourW="25400">
                <a:contourClr>
                  <a:schemeClr val="bg2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D59-4C06-89B5-A0F03121A9E9}"/>
              </c:ext>
            </c:extLst>
          </c:dPt>
          <c:dPt>
            <c:idx val="2"/>
            <c:bubble3D val="0"/>
            <c:spPr>
              <a:solidFill>
                <a:schemeClr val="accent6">
                  <a:shade val="30000"/>
                  <a:satMod val="115000"/>
                </a:schemeClr>
              </a:solidFill>
              <a:ln w="25400">
                <a:solidFill>
                  <a:schemeClr val="bg2"/>
                </a:solidFill>
              </a:ln>
              <a:effectLst/>
              <a:sp3d contourW="25400">
                <a:contourClr>
                  <a:schemeClr val="bg2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AD59-4C06-89B5-A0F03121A9E9}"/>
              </c:ext>
            </c:extLst>
          </c:dPt>
          <c:dPt>
            <c:idx val="3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25400">
                <a:solidFill>
                  <a:schemeClr val="bg2"/>
                </a:solidFill>
              </a:ln>
              <a:effectLst/>
              <a:sp3d contourW="25400">
                <a:contourClr>
                  <a:schemeClr val="bg2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D59-4C06-89B5-A0F03121A9E9}"/>
              </c:ext>
            </c:extLst>
          </c:dPt>
          <c:cat>
            <c:strRef>
              <c:f>CONTENTS!$K$4:$K$8</c:f>
              <c:strCache>
                <c:ptCount val="4"/>
                <c:pt idx="0">
                  <c:v>Auto</c:v>
                </c:pt>
                <c:pt idx="1">
                  <c:v>Premier</c:v>
                </c:pt>
                <c:pt idx="2">
                  <c:v>UberGo</c:v>
                </c:pt>
                <c:pt idx="3">
                  <c:v>UberXL</c:v>
                </c:pt>
              </c:strCache>
            </c:strRef>
          </c:cat>
          <c:val>
            <c:numRef>
              <c:f>CONTENTS!$L$4:$L$8</c:f>
              <c:numCache>
                <c:formatCode>General</c:formatCode>
                <c:ptCount val="4"/>
                <c:pt idx="0">
                  <c:v>9</c:v>
                </c:pt>
                <c:pt idx="1">
                  <c:v>8</c:v>
                </c:pt>
                <c:pt idx="2">
                  <c:v>25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59-4C06-89B5-A0F03121A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cap="none" spc="50">
          <a:ln w="0"/>
          <a:solidFill>
            <a:schemeClr val="bg2"/>
          </a:solidFill>
          <a:effectLst>
            <a:innerShdw blurRad="63500" dist="50800" dir="13500000">
              <a:srgbClr val="000000">
                <a:alpha val="50000"/>
              </a:srgbClr>
            </a:inn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[UBER_DASHBOARD.xlsx]CONTENTS!PivotTable4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CC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CC00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CONTENTS!$F$13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CC00"/>
            </a:solidFill>
            <a:ln>
              <a:noFill/>
            </a:ln>
            <a:effectLst/>
            <a:sp3d/>
          </c:spPr>
          <c:invertIfNegative val="0"/>
          <c:dPt>
            <c:idx val="8"/>
            <c:invertIfNegative val="0"/>
            <c:bubble3D val="0"/>
            <c:spPr>
              <a:solidFill>
                <a:srgbClr val="00CC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0-3EFC-4EB0-AA85-E25EC05733F4}"/>
              </c:ext>
            </c:extLst>
          </c:dPt>
          <c:dLbls>
            <c:dLbl>
              <c:idx val="8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EFC-4EB0-AA85-E25EC05733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CONTENTS!$E$14:$E$23</c:f>
              <c:strCache>
                <c:ptCount val="9"/>
                <c:pt idx="0">
                  <c:v>01-Aug-26</c:v>
                </c:pt>
                <c:pt idx="1">
                  <c:v>02-Aug-26</c:v>
                </c:pt>
                <c:pt idx="2">
                  <c:v>03-Aug-26</c:v>
                </c:pt>
                <c:pt idx="3">
                  <c:v>04-Aug-26</c:v>
                </c:pt>
                <c:pt idx="4">
                  <c:v>05-Aug-26</c:v>
                </c:pt>
                <c:pt idx="5">
                  <c:v>06-Aug-26</c:v>
                </c:pt>
                <c:pt idx="6">
                  <c:v>07-Aug-26</c:v>
                </c:pt>
                <c:pt idx="7">
                  <c:v>08-Aug-26</c:v>
                </c:pt>
                <c:pt idx="8">
                  <c:v>09-Aug-26</c:v>
                </c:pt>
              </c:strCache>
            </c:strRef>
          </c:cat>
          <c:val>
            <c:numRef>
              <c:f>CONTENTS!$F$14:$F$23</c:f>
              <c:numCache>
                <c:formatCode>General</c:formatCode>
                <c:ptCount val="9"/>
                <c:pt idx="0">
                  <c:v>1950</c:v>
                </c:pt>
                <c:pt idx="1">
                  <c:v>2040</c:v>
                </c:pt>
                <c:pt idx="2">
                  <c:v>2215</c:v>
                </c:pt>
                <c:pt idx="3">
                  <c:v>2385</c:v>
                </c:pt>
                <c:pt idx="4">
                  <c:v>1570</c:v>
                </c:pt>
                <c:pt idx="5">
                  <c:v>1965</c:v>
                </c:pt>
                <c:pt idx="6">
                  <c:v>2505</c:v>
                </c:pt>
                <c:pt idx="7">
                  <c:v>2167</c:v>
                </c:pt>
                <c:pt idx="8">
                  <c:v>1245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A6-411B-A269-0CEF87F1F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04846960"/>
        <c:axId val="2133781616"/>
        <c:axId val="0"/>
      </c:bar3DChart>
      <c:catAx>
        <c:axId val="2004846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781616"/>
        <c:crosses val="autoZero"/>
        <c:auto val="1"/>
        <c:lblAlgn val="ctr"/>
        <c:lblOffset val="100"/>
        <c:noMultiLvlLbl val="0"/>
      </c:catAx>
      <c:valAx>
        <c:axId val="213378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84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[UBER_DASHBOARD.xlsx]CONTENTS!PivotTable5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3CC33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CONTENTS!$I$14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33CC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D30-4E69-8913-7FB0CC66F559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30-4E69-8913-7FB0CC66F5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A4-46E2-8E7A-CD42353DB611}"/>
              </c:ext>
            </c:extLst>
          </c:dPt>
          <c:cat>
            <c:strRef>
              <c:f>CONTENTS!$H$15:$H$18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CONTENTS!$I$15:$I$18</c:f>
              <c:numCache>
                <c:formatCode>General</c:formatCode>
                <c:ptCount val="3"/>
                <c:pt idx="0">
                  <c:v>17</c:v>
                </c:pt>
                <c:pt idx="1">
                  <c:v>10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0-4E69-8913-7FB0CC66F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cap="none" spc="50">
          <a:ln w="0"/>
          <a:solidFill>
            <a:schemeClr val="bg2"/>
          </a:solidFill>
          <a:effectLst>
            <a:innerShdw blurRad="63500" dist="50800" dir="13500000">
              <a:srgbClr val="000000">
                <a:alpha val="50000"/>
              </a:srgbClr>
            </a:inn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[UBER_DASHBOARD.xlsx]CONTENTS!PivotTable6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33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0033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CONTENTS!$L$12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3300"/>
            </a:solidFill>
          </c:spPr>
          <c:dPt>
            <c:idx val="0"/>
            <c:bubble3D val="0"/>
            <c:spPr>
              <a:solidFill>
                <a:srgbClr val="0033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2E-4597-AFB6-9E47A687AA4D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3FB-466A-BC04-2B42625017B6}"/>
              </c:ext>
            </c:extLst>
          </c:dPt>
          <c:cat>
            <c:strRef>
              <c:f>CONTENTS!$K$13:$K$15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CONTENTS!$L$13:$L$15</c:f>
              <c:numCache>
                <c:formatCode>General</c:formatCode>
                <c:ptCount val="2"/>
                <c:pt idx="0">
                  <c:v>8400</c:v>
                </c:pt>
                <c:pt idx="1">
                  <c:v>9642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B-466A-BC04-2B4262501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cap="none" spc="50">
          <a:ln w="0"/>
          <a:solidFill>
            <a:schemeClr val="bg2"/>
          </a:solidFill>
          <a:effectLst>
            <a:innerShdw blurRad="63500" dist="50800" dir="13500000">
              <a:srgbClr val="000000">
                <a:alpha val="50000"/>
              </a:srgbClr>
            </a:inn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[UBER_DASHBOARD.xlsx]CONTENTS!PivotTable7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FF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CONTENTS!$O$11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FF00"/>
            </a:solidFill>
            <a:ln>
              <a:noFill/>
            </a:ln>
            <a:effectLst/>
            <a:sp3d/>
          </c:spPr>
          <c:cat>
            <c:strRef>
              <c:f>CONTENTS!$N$12:$N$15</c:f>
              <c:strCache>
                <c:ptCount val="3"/>
                <c:pt idx="0">
                  <c:v>New</c:v>
                </c:pt>
                <c:pt idx="1">
                  <c:v>Premium</c:v>
                </c:pt>
                <c:pt idx="2">
                  <c:v>Regular</c:v>
                </c:pt>
              </c:strCache>
            </c:strRef>
          </c:cat>
          <c:val>
            <c:numRef>
              <c:f>CONTENTS!$O$12:$O$15</c:f>
              <c:numCache>
                <c:formatCode>General</c:formatCode>
                <c:ptCount val="3"/>
                <c:pt idx="0">
                  <c:v>13</c:v>
                </c:pt>
                <c:pt idx="1">
                  <c:v>11</c:v>
                </c:pt>
                <c:pt idx="2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E7-48CE-AD78-A3DAC1C7B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539327"/>
        <c:axId val="1498031759"/>
        <c:axId val="972968047"/>
      </c:line3DChart>
      <c:catAx>
        <c:axId val="17265393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31759"/>
        <c:crosses val="autoZero"/>
        <c:auto val="1"/>
        <c:lblAlgn val="ctr"/>
        <c:lblOffset val="100"/>
        <c:noMultiLvlLbl val="0"/>
      </c:catAx>
      <c:valAx>
        <c:axId val="14980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539327"/>
        <c:crosses val="autoZero"/>
        <c:crossBetween val="between"/>
      </c:valAx>
      <c:serAx>
        <c:axId val="97296804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31759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cap="none" spc="50">
          <a:ln w="0"/>
          <a:solidFill>
            <a:schemeClr val="bg2"/>
          </a:solidFill>
          <a:effectLst>
            <a:innerShdw blurRad="63500" dist="50800" dir="13500000">
              <a:srgbClr val="000000">
                <a:alpha val="50000"/>
              </a:srgbClr>
            </a:inn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[UBER_DASHBOARD.xlsx]CONTENTS!PivotTable8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CONTENTS!$I$22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3">
                    <a:lumMod val="60000"/>
                    <a:lumOff val="40000"/>
                  </a:schemeClr>
                </a:solidFill>
                <a:ln w="9525">
                  <a:solidFill>
                    <a:schemeClr val="accent3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F437-4778-BE12-16098F32A631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3">
                    <a:lumMod val="60000"/>
                    <a:lumOff val="40000"/>
                  </a:schemeClr>
                </a:solidFill>
                <a:ln w="9525">
                  <a:solidFill>
                    <a:schemeClr val="accent3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437-4778-BE12-16098F32A631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3">
                    <a:lumMod val="60000"/>
                    <a:lumOff val="40000"/>
                  </a:schemeClr>
                </a:solidFill>
                <a:ln w="9525">
                  <a:solidFill>
                    <a:schemeClr val="accent3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37-4778-BE12-16098F32A631}"/>
              </c:ext>
            </c:extLst>
          </c:dPt>
          <c:cat>
            <c:strRef>
              <c:f>CONTENTS!$H$23:$H$27</c:f>
              <c:strCache>
                <c:ptCount val="4"/>
                <c:pt idx="0">
                  <c:v>Auto</c:v>
                </c:pt>
                <c:pt idx="1">
                  <c:v>Premier</c:v>
                </c:pt>
                <c:pt idx="2">
                  <c:v>UberGo</c:v>
                </c:pt>
                <c:pt idx="3">
                  <c:v>UberXL</c:v>
                </c:pt>
              </c:strCache>
            </c:strRef>
          </c:cat>
          <c:val>
            <c:numRef>
              <c:f>CONTENTS!$I$23:$I$27</c:f>
              <c:numCache>
                <c:formatCode>General</c:formatCode>
                <c:ptCount val="4"/>
                <c:pt idx="0">
                  <c:v>38.5</c:v>
                </c:pt>
                <c:pt idx="1">
                  <c:v>38.799999999999997</c:v>
                </c:pt>
                <c:pt idx="2">
                  <c:v>112.89999999999999</c:v>
                </c:pt>
                <c:pt idx="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37-4778-BE12-16098F32A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1094335"/>
        <c:axId val="1498044719"/>
      </c:lineChart>
      <c:catAx>
        <c:axId val="164109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44719"/>
        <c:crosses val="autoZero"/>
        <c:auto val="1"/>
        <c:lblAlgn val="ctr"/>
        <c:lblOffset val="100"/>
        <c:noMultiLvlLbl val="0"/>
      </c:catAx>
      <c:valAx>
        <c:axId val="149804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09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cap="none" spc="50">
          <a:ln w="0"/>
          <a:solidFill>
            <a:schemeClr val="bg2"/>
          </a:solidFill>
          <a:effectLst>
            <a:innerShdw blurRad="63500" dist="50800" dir="13500000">
              <a:srgbClr val="000000">
                <a:alpha val="50000"/>
              </a:srgbClr>
            </a:inn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[UBER_DASHBOARD.xlsx]CONTENTS!PivotTable9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CONTENTS!$L$22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  <a:sp3d/>
          </c:spPr>
          <c:cat>
            <c:strRef>
              <c:f>CONTENTS!$K$23:$K$25</c:f>
              <c:strCache>
                <c:ptCount val="2"/>
                <c:pt idx="0">
                  <c:v>Cancelled</c:v>
                </c:pt>
                <c:pt idx="1">
                  <c:v>Completed</c:v>
                </c:pt>
              </c:strCache>
            </c:strRef>
          </c:cat>
          <c:val>
            <c:numRef>
              <c:f>CONTENTS!$L$23:$L$25</c:f>
              <c:numCache>
                <c:formatCode>General</c:formatCode>
                <c:ptCount val="2"/>
                <c:pt idx="0">
                  <c:v>3</c:v>
                </c:pt>
                <c:pt idx="1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0-42C2-B85D-1934830B4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106607"/>
        <c:axId val="972819087"/>
        <c:axId val="972961327"/>
      </c:area3DChart>
      <c:catAx>
        <c:axId val="1123106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19087"/>
        <c:crosses val="autoZero"/>
        <c:auto val="1"/>
        <c:lblAlgn val="ctr"/>
        <c:lblOffset val="100"/>
        <c:noMultiLvlLbl val="0"/>
      </c:catAx>
      <c:valAx>
        <c:axId val="97281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106607"/>
        <c:crosses val="autoZero"/>
        <c:crossBetween val="midCat"/>
      </c:valAx>
      <c:serAx>
        <c:axId val="97296132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1908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cap="none" spc="50">
          <a:ln w="0"/>
          <a:solidFill>
            <a:schemeClr val="bg2"/>
          </a:solidFill>
          <a:effectLst>
            <a:innerShdw blurRad="63500" dist="50800" dir="13500000">
              <a:srgbClr val="000000">
                <a:alpha val="50000"/>
              </a:srgbClr>
            </a:inn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12" Type="http://schemas.openxmlformats.org/officeDocument/2006/relationships/image" Target="../media/image4.svg"/><Relationship Id="rId17" Type="http://schemas.openxmlformats.org/officeDocument/2006/relationships/image" Target="../media/image9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11" Type="http://schemas.openxmlformats.org/officeDocument/2006/relationships/image" Target="../media/image3.png"/><Relationship Id="rId5" Type="http://schemas.openxmlformats.org/officeDocument/2006/relationships/chart" Target="../charts/chart3.xml"/><Relationship Id="rId15" Type="http://schemas.openxmlformats.org/officeDocument/2006/relationships/image" Target="../media/image7.png"/><Relationship Id="rId10" Type="http://schemas.openxmlformats.org/officeDocument/2006/relationships/chart" Target="../charts/chart8.xml"/><Relationship Id="rId19" Type="http://schemas.openxmlformats.org/officeDocument/2006/relationships/image" Target="../media/image11.png"/><Relationship Id="rId4" Type="http://schemas.openxmlformats.org/officeDocument/2006/relationships/chart" Target="../charts/chart2.xml"/><Relationship Id="rId9" Type="http://schemas.openxmlformats.org/officeDocument/2006/relationships/chart" Target="../charts/chart7.xml"/><Relationship Id="rId14" Type="http://schemas.openxmlformats.org/officeDocument/2006/relationships/image" Target="../media/image6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2</xdr:row>
      <xdr:rowOff>36428</xdr:rowOff>
    </xdr:from>
    <xdr:to>
      <xdr:col>14</xdr:col>
      <xdr:colOff>362484</xdr:colOff>
      <xdr:row>4</xdr:row>
      <xdr:rowOff>153570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149355-84CE-06DA-C9B2-26613400917F}"/>
            </a:ext>
          </a:extLst>
        </xdr:cNvPr>
        <xdr:cNvSpPr txBox="1"/>
      </xdr:nvSpPr>
      <xdr:spPr>
        <a:xfrm rot="10800000" flipV="1">
          <a:off x="1943100" y="392028"/>
          <a:ext cx="6953784" cy="472742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600" u="none">
              <a:solidFill>
                <a:schemeClr val="accent3"/>
              </a:solidFill>
              <a:latin typeface="Bahnschrift SemiBold SemiConden" panose="020B0502040204020203" pitchFamily="34" charset="0"/>
            </a:rPr>
            <a:t>UBER</a:t>
          </a:r>
          <a:r>
            <a:rPr lang="en-IN" sz="3600" u="none">
              <a:latin typeface="Bahnschrift SemiBold SemiConden" panose="020B0502040204020203" pitchFamily="34" charset="0"/>
            </a:rPr>
            <a:t> </a:t>
          </a:r>
          <a:r>
            <a:rPr lang="en-IN" sz="3600" u="none">
              <a:solidFill>
                <a:schemeClr val="bg1"/>
              </a:solidFill>
              <a:latin typeface="Bahnschrift SemiBold SemiConden" panose="020B0502040204020203" pitchFamily="34" charset="0"/>
            </a:rPr>
            <a:t>RIDE ANALYTICS DASHBORAD</a:t>
          </a:r>
        </a:p>
      </xdr:txBody>
    </xdr:sp>
    <xdr:clientData/>
  </xdr:twoCellAnchor>
  <xdr:twoCellAnchor editAs="oneCell">
    <xdr:from>
      <xdr:col>1</xdr:col>
      <xdr:colOff>33088</xdr:colOff>
      <xdr:row>3</xdr:row>
      <xdr:rowOff>90855</xdr:rowOff>
    </xdr:from>
    <xdr:to>
      <xdr:col>3</xdr:col>
      <xdr:colOff>190499</xdr:colOff>
      <xdr:row>9</xdr:row>
      <xdr:rowOff>135978</xdr:rowOff>
    </xdr:to>
    <xdr:pic>
      <xdr:nvPicPr>
        <xdr:cNvPr id="4" name="Graphic 3" descr="Car with solid fill">
          <a:extLst>
            <a:ext uri="{FF2B5EF4-FFF2-40B4-BE49-F238E27FC236}">
              <a16:creationId xmlns:a16="http://schemas.microsoft.com/office/drawing/2014/main" id="{D095F331-F2AF-5C25-582C-8CB54B4D8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2688" y="624255"/>
          <a:ext cx="1376611" cy="1111923"/>
        </a:xfrm>
        <a:prstGeom prst="rect">
          <a:avLst/>
        </a:prstGeom>
      </xdr:spPr>
    </xdr:pic>
    <xdr:clientData/>
  </xdr:twoCellAnchor>
  <xdr:oneCellAnchor>
    <xdr:from>
      <xdr:col>0</xdr:col>
      <xdr:colOff>465889</xdr:colOff>
      <xdr:row>1</xdr:row>
      <xdr:rowOff>118310</xdr:rowOff>
    </xdr:from>
    <xdr:ext cx="1375611" cy="56749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4AB2482-F53A-C085-9D98-80724707AB30}"/>
            </a:ext>
          </a:extLst>
        </xdr:cNvPr>
        <xdr:cNvSpPr txBox="1"/>
      </xdr:nvSpPr>
      <xdr:spPr>
        <a:xfrm>
          <a:off x="465889" y="296110"/>
          <a:ext cx="1375611" cy="5674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3200">
              <a:solidFill>
                <a:schemeClr val="bg1"/>
              </a:solidFill>
              <a:latin typeface="Arial Rounded MT Bold" panose="020F0704030504030204" pitchFamily="34" charset="0"/>
            </a:rPr>
            <a:t>uber</a:t>
          </a:r>
        </a:p>
      </xdr:txBody>
    </xdr:sp>
    <xdr:clientData/>
  </xdr:oneCellAnchor>
  <xdr:twoCellAnchor>
    <xdr:from>
      <xdr:col>10</xdr:col>
      <xdr:colOff>15200</xdr:colOff>
      <xdr:row>29</xdr:row>
      <xdr:rowOff>137160</xdr:rowOff>
    </xdr:from>
    <xdr:to>
      <xdr:col>18</xdr:col>
      <xdr:colOff>228600</xdr:colOff>
      <xdr:row>47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326083-12D6-4538-AE9D-43C872277A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419100</xdr:colOff>
      <xdr:row>11</xdr:row>
      <xdr:rowOff>12700</xdr:rowOff>
    </xdr:from>
    <xdr:to>
      <xdr:col>26</xdr:col>
      <xdr:colOff>533400</xdr:colOff>
      <xdr:row>28</xdr:row>
      <xdr:rowOff>73660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59203C-2F52-4386-9A20-321999B3BF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558728</xdr:colOff>
      <xdr:row>10</xdr:row>
      <xdr:rowOff>169490</xdr:rowOff>
    </xdr:from>
    <xdr:to>
      <xdr:col>18</xdr:col>
      <xdr:colOff>76200</xdr:colOff>
      <xdr:row>28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39FF812-ED01-436A-A055-0094A1594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152400</xdr:colOff>
      <xdr:row>29</xdr:row>
      <xdr:rowOff>45720</xdr:rowOff>
    </xdr:from>
    <xdr:to>
      <xdr:col>35</xdr:col>
      <xdr:colOff>350519</xdr:colOff>
      <xdr:row>47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8FF540-94CF-4408-87DC-FAD815A6C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467885</xdr:colOff>
      <xdr:row>29</xdr:row>
      <xdr:rowOff>98100</xdr:rowOff>
    </xdr:from>
    <xdr:to>
      <xdr:col>26</xdr:col>
      <xdr:colOff>533400</xdr:colOff>
      <xdr:row>47</xdr:row>
      <xdr:rowOff>121920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9129DBB-5CD5-46C8-9078-A0DDE8B82A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182880</xdr:colOff>
      <xdr:row>11</xdr:row>
      <xdr:rowOff>56296</xdr:rowOff>
    </xdr:from>
    <xdr:to>
      <xdr:col>35</xdr:col>
      <xdr:colOff>330199</xdr:colOff>
      <xdr:row>28</xdr:row>
      <xdr:rowOff>15240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485F71F-B284-42F5-AFBA-CDE3D85BE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499712</xdr:colOff>
      <xdr:row>10</xdr:row>
      <xdr:rowOff>165100</xdr:rowOff>
    </xdr:from>
    <xdr:to>
      <xdr:col>9</xdr:col>
      <xdr:colOff>292100</xdr:colOff>
      <xdr:row>27</xdr:row>
      <xdr:rowOff>106680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E81B550-0206-44C6-BFA6-906692DD48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444500</xdr:colOff>
      <xdr:row>29</xdr:row>
      <xdr:rowOff>167640</xdr:rowOff>
    </xdr:from>
    <xdr:to>
      <xdr:col>9</xdr:col>
      <xdr:colOff>381001</xdr:colOff>
      <xdr:row>47</xdr:row>
      <xdr:rowOff>15240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0C83997-C553-4AD5-9D6C-6B61FD07A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oneCellAnchor>
    <xdr:from>
      <xdr:col>14</xdr:col>
      <xdr:colOff>228600</xdr:colOff>
      <xdr:row>0</xdr:row>
      <xdr:rowOff>88529</xdr:rowOff>
    </xdr:from>
    <xdr:ext cx="2387600" cy="405432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59E5FB0-7FC5-03D3-9A4F-F3665DF64827}"/>
            </a:ext>
          </a:extLst>
        </xdr:cNvPr>
        <xdr:cNvSpPr txBox="1"/>
      </xdr:nvSpPr>
      <xdr:spPr>
        <a:xfrm rot="10800000" flipH="1" flipV="1">
          <a:off x="8763000" y="88529"/>
          <a:ext cx="238760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2000" b="1">
              <a:solidFill>
                <a:schemeClr val="bg1"/>
              </a:solidFill>
            </a:rPr>
            <a:t>TOTAL</a:t>
          </a:r>
          <a:r>
            <a:rPr lang="en-IN" sz="2000" b="1" baseline="0">
              <a:solidFill>
                <a:schemeClr val="bg1"/>
              </a:solidFill>
            </a:rPr>
            <a:t> TRIP              </a:t>
          </a:r>
          <a:endParaRPr lang="en-IN" sz="2000" b="1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457200</xdr:colOff>
      <xdr:row>2</xdr:row>
      <xdr:rowOff>38100</xdr:rowOff>
    </xdr:from>
    <xdr:ext cx="1219200" cy="4680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0AB24C7-77FA-50A2-9073-65F1E45E1F6F}"/>
            </a:ext>
          </a:extLst>
        </xdr:cNvPr>
        <xdr:cNvSpPr txBox="1"/>
      </xdr:nvSpPr>
      <xdr:spPr>
        <a:xfrm>
          <a:off x="9601200" y="393700"/>
          <a:ext cx="121920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400" b="1">
              <a:solidFill>
                <a:schemeClr val="bg1"/>
              </a:solidFill>
            </a:rPr>
            <a:t>1679</a:t>
          </a:r>
        </a:p>
      </xdr:txBody>
    </xdr:sp>
    <xdr:clientData/>
  </xdr:oneCellAnchor>
  <xdr:oneCellAnchor>
    <xdr:from>
      <xdr:col>18</xdr:col>
      <xdr:colOff>254000</xdr:colOff>
      <xdr:row>0</xdr:row>
      <xdr:rowOff>76200</xdr:rowOff>
    </xdr:from>
    <xdr:ext cx="2019300" cy="40543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FD9CE8A-084F-B926-B782-1928AC028675}"/>
            </a:ext>
          </a:extLst>
        </xdr:cNvPr>
        <xdr:cNvSpPr txBox="1"/>
      </xdr:nvSpPr>
      <xdr:spPr>
        <a:xfrm>
          <a:off x="11226800" y="76200"/>
          <a:ext cx="201930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000" b="1">
              <a:solidFill>
                <a:schemeClr val="bg1"/>
              </a:solidFill>
            </a:rPr>
            <a:t>TOTAL REVENUE</a:t>
          </a:r>
        </a:p>
      </xdr:txBody>
    </xdr:sp>
    <xdr:clientData/>
  </xdr:oneCellAnchor>
  <xdr:oneCellAnchor>
    <xdr:from>
      <xdr:col>19</xdr:col>
      <xdr:colOff>63500</xdr:colOff>
      <xdr:row>2</xdr:row>
      <xdr:rowOff>12700</xdr:rowOff>
    </xdr:from>
    <xdr:ext cx="1022931" cy="46801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D011A14-AA63-FCBA-DCB8-3127E9C78939}"/>
            </a:ext>
          </a:extLst>
        </xdr:cNvPr>
        <xdr:cNvSpPr txBox="1"/>
      </xdr:nvSpPr>
      <xdr:spPr>
        <a:xfrm>
          <a:off x="11645900" y="368300"/>
          <a:ext cx="10229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400" b="1">
              <a:solidFill>
                <a:schemeClr val="bg1"/>
              </a:solidFill>
            </a:rPr>
            <a:t>18042</a:t>
          </a:r>
        </a:p>
      </xdr:txBody>
    </xdr:sp>
    <xdr:clientData/>
  </xdr:oneCellAnchor>
  <xdr:twoCellAnchor editAs="oneCell">
    <xdr:from>
      <xdr:col>23</xdr:col>
      <xdr:colOff>12700</xdr:colOff>
      <xdr:row>4</xdr:row>
      <xdr:rowOff>25400</xdr:rowOff>
    </xdr:from>
    <xdr:to>
      <xdr:col>24</xdr:col>
      <xdr:colOff>317500</xdr:colOff>
      <xdr:row>9</xdr:row>
      <xdr:rowOff>50800</xdr:rowOff>
    </xdr:to>
    <xdr:pic>
      <xdr:nvPicPr>
        <xdr:cNvPr id="21" name="Graphic 20" descr="Money with solid fill">
          <a:extLst>
            <a:ext uri="{FF2B5EF4-FFF2-40B4-BE49-F238E27FC236}">
              <a16:creationId xmlns:a16="http://schemas.microsoft.com/office/drawing/2014/main" id="{741A7EE1-59BB-0FB2-E2CD-AA707FA37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033500" y="736600"/>
          <a:ext cx="914400" cy="914400"/>
        </a:xfrm>
        <a:prstGeom prst="rect">
          <a:avLst/>
        </a:prstGeom>
      </xdr:spPr>
    </xdr:pic>
    <xdr:clientData/>
  </xdr:twoCellAnchor>
  <xdr:oneCellAnchor>
    <xdr:from>
      <xdr:col>22</xdr:col>
      <xdr:colOff>190500</xdr:colOff>
      <xdr:row>0</xdr:row>
      <xdr:rowOff>63500</xdr:rowOff>
    </xdr:from>
    <xdr:ext cx="2057400" cy="405432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9451690-8637-E0B0-CE24-074576DD127D}"/>
            </a:ext>
          </a:extLst>
        </xdr:cNvPr>
        <xdr:cNvSpPr txBox="1"/>
      </xdr:nvSpPr>
      <xdr:spPr>
        <a:xfrm>
          <a:off x="13601700" y="63500"/>
          <a:ext cx="205740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000" b="1">
              <a:solidFill>
                <a:schemeClr val="bg1"/>
              </a:solidFill>
            </a:rPr>
            <a:t>AVERAGE FARE</a:t>
          </a:r>
        </a:p>
      </xdr:txBody>
    </xdr:sp>
    <xdr:clientData/>
  </xdr:oneCellAnchor>
  <xdr:oneCellAnchor>
    <xdr:from>
      <xdr:col>22</xdr:col>
      <xdr:colOff>533400</xdr:colOff>
      <xdr:row>2</xdr:row>
      <xdr:rowOff>38100</xdr:rowOff>
    </xdr:from>
    <xdr:ext cx="1054100" cy="46801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6DF317A-E1DC-905D-541B-A17C32B12DEA}"/>
            </a:ext>
          </a:extLst>
        </xdr:cNvPr>
        <xdr:cNvSpPr txBox="1"/>
      </xdr:nvSpPr>
      <xdr:spPr>
        <a:xfrm>
          <a:off x="13944600" y="393700"/>
          <a:ext cx="105410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400" b="1">
              <a:solidFill>
                <a:schemeClr val="bg1"/>
              </a:solidFill>
            </a:rPr>
            <a:t>360.84</a:t>
          </a:r>
        </a:p>
      </xdr:txBody>
    </xdr:sp>
    <xdr:clientData/>
  </xdr:oneCellAnchor>
  <xdr:twoCellAnchor editAs="oneCell">
    <xdr:from>
      <xdr:col>19</xdr:col>
      <xdr:colOff>127000</xdr:colOff>
      <xdr:row>4</xdr:row>
      <xdr:rowOff>50800</xdr:rowOff>
    </xdr:from>
    <xdr:to>
      <xdr:col>20</xdr:col>
      <xdr:colOff>431800</xdr:colOff>
      <xdr:row>9</xdr:row>
      <xdr:rowOff>76200</xdr:rowOff>
    </xdr:to>
    <xdr:pic>
      <xdr:nvPicPr>
        <xdr:cNvPr id="25" name="Graphic 24" descr="Dollar with solid fill">
          <a:extLst>
            <a:ext uri="{FF2B5EF4-FFF2-40B4-BE49-F238E27FC236}">
              <a16:creationId xmlns:a16="http://schemas.microsoft.com/office/drawing/2014/main" id="{2A04E862-F176-C161-89D2-CC642CEAC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1709400" y="762000"/>
          <a:ext cx="914400" cy="914400"/>
        </a:xfrm>
        <a:prstGeom prst="rect">
          <a:avLst/>
        </a:prstGeom>
      </xdr:spPr>
    </xdr:pic>
    <xdr:clientData/>
  </xdr:twoCellAnchor>
  <xdr:oneCellAnchor>
    <xdr:from>
      <xdr:col>25</xdr:col>
      <xdr:colOff>546100</xdr:colOff>
      <xdr:row>0</xdr:row>
      <xdr:rowOff>88900</xdr:rowOff>
    </xdr:from>
    <xdr:ext cx="3505200" cy="40543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4344766-14A9-B7B9-8AAD-56F4AFA962B0}"/>
            </a:ext>
          </a:extLst>
        </xdr:cNvPr>
        <xdr:cNvSpPr txBox="1"/>
      </xdr:nvSpPr>
      <xdr:spPr>
        <a:xfrm>
          <a:off x="15786100" y="88900"/>
          <a:ext cx="350520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000" b="1">
              <a:solidFill>
                <a:schemeClr val="bg1"/>
              </a:solidFill>
            </a:rPr>
            <a:t>AVERAGE CUSTOMER</a:t>
          </a:r>
          <a:r>
            <a:rPr lang="en-IN" sz="2000" b="1" baseline="0">
              <a:solidFill>
                <a:schemeClr val="bg1"/>
              </a:solidFill>
            </a:rPr>
            <a:t> RATING</a:t>
          </a:r>
          <a:endParaRPr lang="en-IN" sz="2000" b="1">
            <a:solidFill>
              <a:schemeClr val="bg1"/>
            </a:solidFill>
          </a:endParaRPr>
        </a:p>
      </xdr:txBody>
    </xdr:sp>
    <xdr:clientData/>
  </xdr:oneCellAnchor>
  <xdr:oneCellAnchor>
    <xdr:from>
      <xdr:col>27</xdr:col>
      <xdr:colOff>469900</xdr:colOff>
      <xdr:row>2</xdr:row>
      <xdr:rowOff>63500</xdr:rowOff>
    </xdr:from>
    <xdr:ext cx="1016000" cy="468013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40C07C6-62FF-1D6E-2043-819A728A6051}"/>
            </a:ext>
          </a:extLst>
        </xdr:cNvPr>
        <xdr:cNvSpPr txBox="1"/>
      </xdr:nvSpPr>
      <xdr:spPr>
        <a:xfrm>
          <a:off x="16929100" y="419100"/>
          <a:ext cx="101600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400" b="1">
              <a:solidFill>
                <a:schemeClr val="bg1"/>
              </a:solidFill>
            </a:rPr>
            <a:t>4.564</a:t>
          </a:r>
        </a:p>
      </xdr:txBody>
    </xdr:sp>
    <xdr:clientData/>
  </xdr:oneCellAnchor>
  <xdr:twoCellAnchor editAs="oneCell">
    <xdr:from>
      <xdr:col>27</xdr:col>
      <xdr:colOff>444500</xdr:colOff>
      <xdr:row>4</xdr:row>
      <xdr:rowOff>101600</xdr:rowOff>
    </xdr:from>
    <xdr:to>
      <xdr:col>29</xdr:col>
      <xdr:colOff>139700</xdr:colOff>
      <xdr:row>9</xdr:row>
      <xdr:rowOff>127000</xdr:rowOff>
    </xdr:to>
    <xdr:pic>
      <xdr:nvPicPr>
        <xdr:cNvPr id="29" name="Graphic 28" descr="Target Audience with solid fill">
          <a:extLst>
            <a:ext uri="{FF2B5EF4-FFF2-40B4-BE49-F238E27FC236}">
              <a16:creationId xmlns:a16="http://schemas.microsoft.com/office/drawing/2014/main" id="{28ECFED3-8AE2-75A6-EB45-07D0E8EEB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903700" y="8128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15</xdr:col>
      <xdr:colOff>406400</xdr:colOff>
      <xdr:row>3</xdr:row>
      <xdr:rowOff>165100</xdr:rowOff>
    </xdr:from>
    <xdr:to>
      <xdr:col>17</xdr:col>
      <xdr:colOff>101600</xdr:colOff>
      <xdr:row>9</xdr:row>
      <xdr:rowOff>12700</xdr:rowOff>
    </xdr:to>
    <xdr:pic>
      <xdr:nvPicPr>
        <xdr:cNvPr id="31" name="Graphic 30" descr="Map with pin with solid fill">
          <a:extLst>
            <a:ext uri="{FF2B5EF4-FFF2-40B4-BE49-F238E27FC236}">
              <a16:creationId xmlns:a16="http://schemas.microsoft.com/office/drawing/2014/main" id="{2F3409BD-D5EF-20CA-3D49-6A64DA7FA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9550400" y="6985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31</xdr:col>
      <xdr:colOff>508000</xdr:colOff>
      <xdr:row>0</xdr:row>
      <xdr:rowOff>0</xdr:rowOff>
    </xdr:from>
    <xdr:to>
      <xdr:col>35</xdr:col>
      <xdr:colOff>139700</xdr:colOff>
      <xdr:row>9</xdr:row>
      <xdr:rowOff>114299</xdr:rowOff>
    </xdr:to>
    <xdr:pic>
      <xdr:nvPicPr>
        <xdr:cNvPr id="33" name="Graphic 32" descr="Gauge with solid fill">
          <a:extLst>
            <a:ext uri="{FF2B5EF4-FFF2-40B4-BE49-F238E27FC236}">
              <a16:creationId xmlns:a16="http://schemas.microsoft.com/office/drawing/2014/main" id="{6CB20F3B-9313-1242-61AA-5C335695D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9405600" y="0"/>
          <a:ext cx="2070100" cy="17144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587828</xdr:colOff>
      <xdr:row>17</xdr:row>
      <xdr:rowOff>152400</xdr:rowOff>
    </xdr:from>
    <xdr:to>
      <xdr:col>30</xdr:col>
      <xdr:colOff>279399</xdr:colOff>
      <xdr:row>32</xdr:row>
      <xdr:rowOff>100330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BFC4BA-B724-C3AA-A6CE-B8542CE2F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99391</xdr:colOff>
      <xdr:row>0</xdr:row>
      <xdr:rowOff>160683</xdr:rowOff>
    </xdr:from>
    <xdr:to>
      <xdr:col>28</xdr:col>
      <xdr:colOff>380999</xdr:colOff>
      <xdr:row>15</xdr:row>
      <xdr:rowOff>170622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F419A3-4710-4D22-31B0-5E695499F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306456</xdr:colOff>
      <xdr:row>20</xdr:row>
      <xdr:rowOff>135835</xdr:rowOff>
    </xdr:from>
    <xdr:to>
      <xdr:col>19</xdr:col>
      <xdr:colOff>571500</xdr:colOff>
      <xdr:row>35</xdr:row>
      <xdr:rowOff>145774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4C5ABE-8C10-7DEC-D109-091304503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272232</xdr:colOff>
      <xdr:row>31</xdr:row>
      <xdr:rowOff>2435</xdr:rowOff>
    </xdr:from>
    <xdr:to>
      <xdr:col>12</xdr:col>
      <xdr:colOff>53026</xdr:colOff>
      <xdr:row>45</xdr:row>
      <xdr:rowOff>115169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1A52E6-C221-4069-33E7-5E648B6DA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111786</xdr:colOff>
      <xdr:row>38</xdr:row>
      <xdr:rowOff>70952</xdr:rowOff>
    </xdr:from>
    <xdr:to>
      <xdr:col>22</xdr:col>
      <xdr:colOff>421725</xdr:colOff>
      <xdr:row>53</xdr:row>
      <xdr:rowOff>32906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26B7E1-81BF-45E7-0FAF-8EBAF56A0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304800</xdr:colOff>
      <xdr:row>33</xdr:row>
      <xdr:rowOff>172720</xdr:rowOff>
    </xdr:from>
    <xdr:to>
      <xdr:col>32</xdr:col>
      <xdr:colOff>0</xdr:colOff>
      <xdr:row>48</xdr:row>
      <xdr:rowOff>172720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75E55F2-4C65-83F2-DA63-FEDEF363F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3241040</xdr:colOff>
      <xdr:row>26</xdr:row>
      <xdr:rowOff>60960</xdr:rowOff>
    </xdr:from>
    <xdr:to>
      <xdr:col>6</xdr:col>
      <xdr:colOff>436880</xdr:colOff>
      <xdr:row>41</xdr:row>
      <xdr:rowOff>60960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46C8691-C032-7C80-5E0A-53DB2D884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5773</xdr:colOff>
      <xdr:row>17</xdr:row>
      <xdr:rowOff>65809</xdr:rowOff>
    </xdr:from>
    <xdr:to>
      <xdr:col>40</xdr:col>
      <xdr:colOff>294409</xdr:colOff>
      <xdr:row>31</xdr:row>
      <xdr:rowOff>176646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44B5CF7-66D8-CC26-A906-38CE50369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A" refreshedDate="46244.439592824077" createdVersion="8" refreshedVersion="8" minRefreshableVersion="3" recordCount="50" xr:uid="{B5EA8964-3B96-4DAA-9DE7-63CEBD81A7CE}">
  <cacheSource type="worksheet">
    <worksheetSource name="Table1"/>
  </cacheSource>
  <cacheFields count="14">
    <cacheField name="Ride_ID" numFmtId="0">
      <sharedItems count="50">
        <s v="UBR001"/>
        <s v="UBR002"/>
        <s v="UBR003"/>
        <s v="UBR004"/>
        <s v="UBR005"/>
        <s v="UBR006"/>
        <s v="UBR007"/>
        <s v="UBR008"/>
        <s v="UBR009"/>
        <s v="UBR010"/>
        <s v="UBR011"/>
        <s v="UBR012"/>
        <s v="UBR013"/>
        <s v="UBR014"/>
        <s v="UBR015"/>
        <s v="UBR016"/>
        <s v="UBR017"/>
        <s v="UBR018"/>
        <s v="UBR019"/>
        <s v="UBR020"/>
        <s v="UBR021"/>
        <s v="UBR022"/>
        <s v="UBR023"/>
        <s v="UBR024"/>
        <s v="UBR025"/>
        <s v="UBR026"/>
        <s v="UBR027"/>
        <s v="UBR028"/>
        <s v="UBR029"/>
        <s v="UBR030"/>
        <s v="UBR031"/>
        <s v="UBR032"/>
        <s v="UBR033"/>
        <s v="UBR034"/>
        <s v="UBR035"/>
        <s v="UBR036"/>
        <s v="UBR037"/>
        <s v="UBR038"/>
        <s v="UBR039"/>
        <s v="UBR040"/>
        <s v="UBR041"/>
        <s v="UBR042"/>
        <s v="UBR043"/>
        <s v="UBR044"/>
        <s v="UBR045"/>
        <s v="UBR046"/>
        <s v="UBR047"/>
        <s v="UBR048"/>
        <s v="UBR049"/>
        <s v="UBR050"/>
      </sharedItems>
    </cacheField>
    <cacheField name="Date" numFmtId="15">
      <sharedItems containsSemiMixedTypes="0" containsNonDate="0" containsDate="1" containsString="0" minDate="2026-08-01T00:00:00" maxDate="2026-08-10T00:00:00" count="9"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</sharedItems>
    </cacheField>
    <cacheField name="City" numFmtId="0">
      <sharedItems count="7">
        <s v="Bengaluru"/>
        <s v="Mumbai"/>
        <s v="Delhi"/>
        <s v="Hyderabad"/>
        <s v="Chennai"/>
        <s v="Pune"/>
        <s v="Kochi"/>
      </sharedItems>
    </cacheField>
    <cacheField name="Vehicle_Type" numFmtId="0">
      <sharedItems count="4">
        <s v="UberGo"/>
        <s v="UberXL"/>
        <s v="Premier"/>
        <s v="Auto"/>
      </sharedItems>
    </cacheField>
    <cacheField name="Trip_Type" numFmtId="0">
      <sharedItems count="2">
        <s v="City"/>
        <s v="Airport"/>
      </sharedItems>
    </cacheField>
    <cacheField name="Customer_Type" numFmtId="0">
      <sharedItems count="3">
        <s v="Regular"/>
        <s v="New"/>
        <s v="Premium"/>
      </sharedItems>
    </cacheField>
    <cacheField name="Payment_Mode" numFmtId="0">
      <sharedItems count="3">
        <s v="UPI"/>
        <s v="Card"/>
        <s v="Cash"/>
      </sharedItems>
    </cacheField>
    <cacheField name="Distance_KM" numFmtId="0">
      <sharedItems containsSemiMixedTypes="0" containsString="0" containsNumber="1" minValue="3.2" maxValue="28.7"/>
    </cacheField>
    <cacheField name="Fare_INR" numFmtId="0">
      <sharedItems containsSemiMixedTypes="0" containsString="0" containsNumber="1" containsInteger="1" minValue="80" maxValue="890"/>
    </cacheField>
    <cacheField name="Discount_INR" numFmtId="0">
      <sharedItems containsSemiMixedTypes="0" containsString="0" containsNumber="1" containsInteger="1" minValue="0" maxValue="100"/>
    </cacheField>
    <cacheField name="Driver_Rating" numFmtId="0">
      <sharedItems containsSemiMixedTypes="0" containsString="0" containsNumber="1" minValue="4.2" maxValue="4.9000000000000004"/>
    </cacheField>
    <cacheField name="Customer_Rating" numFmtId="0">
      <sharedItems containsSemiMixedTypes="0" containsString="0" containsNumber="1" minValue="4" maxValue="4.9000000000000004"/>
    </cacheField>
    <cacheField name="Trip_Duration_Min" numFmtId="0">
      <sharedItems containsSemiMixedTypes="0" containsString="0" containsNumber="1" containsInteger="1" minValue="14" maxValue="67"/>
    </cacheField>
    <cacheField name="Status" numFmtId="0">
      <sharedItems count="2">
        <s v="Completed"/>
        <s v="Cancel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x v="0"/>
    <x v="0"/>
    <x v="0"/>
    <x v="0"/>
    <n v="8.5"/>
    <n v="245"/>
    <n v="20"/>
    <n v="4.8"/>
    <n v="4.7"/>
    <n v="28"/>
    <x v="0"/>
  </r>
  <r>
    <x v="1"/>
    <x v="0"/>
    <x v="1"/>
    <x v="0"/>
    <x v="0"/>
    <x v="1"/>
    <x v="1"/>
    <n v="12.2"/>
    <n v="385"/>
    <n v="50"/>
    <n v="4.5999999999999996"/>
    <n v="4.5"/>
    <n v="41"/>
    <x v="0"/>
  </r>
  <r>
    <x v="2"/>
    <x v="0"/>
    <x v="2"/>
    <x v="1"/>
    <x v="1"/>
    <x v="0"/>
    <x v="0"/>
    <n v="24.5"/>
    <n v="720"/>
    <n v="80"/>
    <n v="4.9000000000000004"/>
    <n v="4.8"/>
    <n v="55"/>
    <x v="0"/>
  </r>
  <r>
    <x v="3"/>
    <x v="0"/>
    <x v="3"/>
    <x v="0"/>
    <x v="0"/>
    <x v="0"/>
    <x v="2"/>
    <n v="6.8"/>
    <n v="190"/>
    <n v="0"/>
    <n v="4.5"/>
    <n v="4.5999999999999996"/>
    <n v="22"/>
    <x v="0"/>
  </r>
  <r>
    <x v="4"/>
    <x v="0"/>
    <x v="4"/>
    <x v="2"/>
    <x v="0"/>
    <x v="2"/>
    <x v="1"/>
    <n v="10.4"/>
    <n v="410"/>
    <n v="30"/>
    <n v="4.9000000000000004"/>
    <n v="4.9000000000000004"/>
    <n v="35"/>
    <x v="0"/>
  </r>
  <r>
    <x v="5"/>
    <x v="1"/>
    <x v="5"/>
    <x v="0"/>
    <x v="0"/>
    <x v="1"/>
    <x v="0"/>
    <n v="7.2"/>
    <n v="215"/>
    <n v="25"/>
    <n v="4.7"/>
    <n v="4.4000000000000004"/>
    <n v="25"/>
    <x v="0"/>
  </r>
  <r>
    <x v="6"/>
    <x v="1"/>
    <x v="0"/>
    <x v="3"/>
    <x v="0"/>
    <x v="0"/>
    <x v="0"/>
    <n v="4.5"/>
    <n v="105"/>
    <n v="10"/>
    <n v="4.5999999999999996"/>
    <n v="4.5"/>
    <n v="18"/>
    <x v="0"/>
  </r>
  <r>
    <x v="7"/>
    <x v="1"/>
    <x v="1"/>
    <x v="1"/>
    <x v="1"/>
    <x v="2"/>
    <x v="1"/>
    <n v="28.7"/>
    <n v="890"/>
    <n v="100"/>
    <n v="4.8"/>
    <n v="4.9000000000000004"/>
    <n v="67"/>
    <x v="0"/>
  </r>
  <r>
    <x v="8"/>
    <x v="1"/>
    <x v="2"/>
    <x v="0"/>
    <x v="0"/>
    <x v="0"/>
    <x v="2"/>
    <n v="9.8000000000000007"/>
    <n v="290"/>
    <n v="0"/>
    <n v="4.4000000000000004"/>
    <n v="4.2"/>
    <n v="31"/>
    <x v="0"/>
  </r>
  <r>
    <x v="9"/>
    <x v="1"/>
    <x v="6"/>
    <x v="0"/>
    <x v="1"/>
    <x v="1"/>
    <x v="0"/>
    <n v="18.5"/>
    <n v="540"/>
    <n v="60"/>
    <n v="4.7"/>
    <n v="4.5999999999999996"/>
    <n v="44"/>
    <x v="0"/>
  </r>
  <r>
    <x v="10"/>
    <x v="2"/>
    <x v="0"/>
    <x v="2"/>
    <x v="0"/>
    <x v="2"/>
    <x v="1"/>
    <n v="14.2"/>
    <n v="560"/>
    <n v="40"/>
    <n v="4.9000000000000004"/>
    <n v="4.8"/>
    <n v="43"/>
    <x v="0"/>
  </r>
  <r>
    <x v="11"/>
    <x v="2"/>
    <x v="1"/>
    <x v="0"/>
    <x v="0"/>
    <x v="0"/>
    <x v="0"/>
    <n v="5.7"/>
    <n v="175"/>
    <n v="15"/>
    <n v="4.5999999999999996"/>
    <n v="4.7"/>
    <n v="20"/>
    <x v="0"/>
  </r>
  <r>
    <x v="12"/>
    <x v="2"/>
    <x v="2"/>
    <x v="3"/>
    <x v="0"/>
    <x v="1"/>
    <x v="2"/>
    <n v="3.8"/>
    <n v="90"/>
    <n v="0"/>
    <n v="4.3"/>
    <n v="4.0999999999999996"/>
    <n v="16"/>
    <x v="0"/>
  </r>
  <r>
    <x v="13"/>
    <x v="2"/>
    <x v="3"/>
    <x v="1"/>
    <x v="1"/>
    <x v="0"/>
    <x v="1"/>
    <n v="22.4"/>
    <n v="680"/>
    <n v="70"/>
    <n v="4.8"/>
    <n v="4.7"/>
    <n v="52"/>
    <x v="0"/>
  </r>
  <r>
    <x v="14"/>
    <x v="2"/>
    <x v="4"/>
    <x v="0"/>
    <x v="0"/>
    <x v="0"/>
    <x v="0"/>
    <n v="8.9"/>
    <n v="260"/>
    <n v="20"/>
    <n v="4.7"/>
    <n v="4.5999999999999996"/>
    <n v="29"/>
    <x v="0"/>
  </r>
  <r>
    <x v="15"/>
    <x v="2"/>
    <x v="5"/>
    <x v="2"/>
    <x v="0"/>
    <x v="2"/>
    <x v="1"/>
    <n v="11.5"/>
    <n v="450"/>
    <n v="35"/>
    <n v="4.9000000000000004"/>
    <n v="4.9000000000000004"/>
    <n v="37"/>
    <x v="0"/>
  </r>
  <r>
    <x v="16"/>
    <x v="3"/>
    <x v="0"/>
    <x v="0"/>
    <x v="0"/>
    <x v="1"/>
    <x v="0"/>
    <n v="6.4"/>
    <n v="185"/>
    <n v="20"/>
    <n v="4.5"/>
    <n v="4.3"/>
    <n v="23"/>
    <x v="1"/>
  </r>
  <r>
    <x v="17"/>
    <x v="3"/>
    <x v="1"/>
    <x v="0"/>
    <x v="0"/>
    <x v="0"/>
    <x v="2"/>
    <n v="10.6"/>
    <n v="320"/>
    <n v="0"/>
    <n v="4.7"/>
    <n v="4.5"/>
    <n v="34"/>
    <x v="0"/>
  </r>
  <r>
    <x v="18"/>
    <x v="3"/>
    <x v="2"/>
    <x v="2"/>
    <x v="1"/>
    <x v="2"/>
    <x v="1"/>
    <n v="26.3"/>
    <n v="840"/>
    <n v="90"/>
    <n v="4.9000000000000004"/>
    <n v="4.8"/>
    <n v="61"/>
    <x v="0"/>
  </r>
  <r>
    <x v="19"/>
    <x v="3"/>
    <x v="6"/>
    <x v="3"/>
    <x v="0"/>
    <x v="0"/>
    <x v="0"/>
    <n v="5.0999999999999996"/>
    <n v="115"/>
    <n v="10"/>
    <n v="4.5"/>
    <n v="4.4000000000000004"/>
    <n v="19"/>
    <x v="0"/>
  </r>
  <r>
    <x v="20"/>
    <x v="3"/>
    <x v="3"/>
    <x v="0"/>
    <x v="0"/>
    <x v="0"/>
    <x v="0"/>
    <n v="9.3000000000000007"/>
    <n v="275"/>
    <n v="25"/>
    <n v="4.5999999999999996"/>
    <n v="4.7"/>
    <n v="30"/>
    <x v="0"/>
  </r>
  <r>
    <x v="21"/>
    <x v="3"/>
    <x v="4"/>
    <x v="1"/>
    <x v="1"/>
    <x v="1"/>
    <x v="1"/>
    <n v="21.8"/>
    <n v="650"/>
    <n v="75"/>
    <n v="4.7"/>
    <n v="4.5"/>
    <n v="50"/>
    <x v="0"/>
  </r>
  <r>
    <x v="22"/>
    <x v="4"/>
    <x v="5"/>
    <x v="0"/>
    <x v="0"/>
    <x v="0"/>
    <x v="2"/>
    <n v="7.6"/>
    <n v="225"/>
    <n v="0"/>
    <n v="4.4000000000000004"/>
    <n v="4.3"/>
    <n v="26"/>
    <x v="0"/>
  </r>
  <r>
    <x v="23"/>
    <x v="4"/>
    <x v="0"/>
    <x v="3"/>
    <x v="0"/>
    <x v="1"/>
    <x v="0"/>
    <n v="3.2"/>
    <n v="80"/>
    <n v="5"/>
    <n v="4.5"/>
    <n v="4.2"/>
    <n v="14"/>
    <x v="0"/>
  </r>
  <r>
    <x v="24"/>
    <x v="4"/>
    <x v="1"/>
    <x v="2"/>
    <x v="0"/>
    <x v="2"/>
    <x v="1"/>
    <n v="13.7"/>
    <n v="525"/>
    <n v="45"/>
    <n v="4.9000000000000004"/>
    <n v="4.9000000000000004"/>
    <n v="42"/>
    <x v="0"/>
  </r>
  <r>
    <x v="25"/>
    <x v="4"/>
    <x v="2"/>
    <x v="0"/>
    <x v="0"/>
    <x v="0"/>
    <x v="0"/>
    <n v="11.4"/>
    <n v="335"/>
    <n v="30"/>
    <n v="4.8"/>
    <n v="4.7"/>
    <n v="36"/>
    <x v="0"/>
  </r>
  <r>
    <x v="26"/>
    <x v="4"/>
    <x v="3"/>
    <x v="0"/>
    <x v="0"/>
    <x v="1"/>
    <x v="2"/>
    <n v="5.9"/>
    <n v="165"/>
    <n v="0"/>
    <n v="4.3"/>
    <n v="4.0999999999999996"/>
    <n v="21"/>
    <x v="1"/>
  </r>
  <r>
    <x v="27"/>
    <x v="4"/>
    <x v="4"/>
    <x v="0"/>
    <x v="0"/>
    <x v="0"/>
    <x v="0"/>
    <n v="8.1999999999999993"/>
    <n v="240"/>
    <n v="20"/>
    <n v="4.5999999999999996"/>
    <n v="4.5"/>
    <n v="27"/>
    <x v="0"/>
  </r>
  <r>
    <x v="28"/>
    <x v="5"/>
    <x v="6"/>
    <x v="2"/>
    <x v="1"/>
    <x v="2"/>
    <x v="1"/>
    <n v="19.600000000000001"/>
    <n v="610"/>
    <n v="60"/>
    <n v="4.8"/>
    <n v="4.8"/>
    <n v="47"/>
    <x v="0"/>
  </r>
  <r>
    <x v="29"/>
    <x v="5"/>
    <x v="5"/>
    <x v="3"/>
    <x v="0"/>
    <x v="0"/>
    <x v="0"/>
    <n v="4.2"/>
    <n v="95"/>
    <n v="5"/>
    <n v="4.5"/>
    <n v="4.4000000000000004"/>
    <n v="17"/>
    <x v="0"/>
  </r>
  <r>
    <x v="30"/>
    <x v="5"/>
    <x v="0"/>
    <x v="1"/>
    <x v="1"/>
    <x v="0"/>
    <x v="1"/>
    <n v="25.8"/>
    <n v="795"/>
    <n v="85"/>
    <n v="4.9000000000000004"/>
    <n v="4.8"/>
    <n v="59"/>
    <x v="0"/>
  </r>
  <r>
    <x v="31"/>
    <x v="5"/>
    <x v="1"/>
    <x v="0"/>
    <x v="0"/>
    <x v="1"/>
    <x v="0"/>
    <n v="9.1"/>
    <n v="270"/>
    <n v="30"/>
    <n v="4.5999999999999996"/>
    <n v="4.5"/>
    <n v="30"/>
    <x v="0"/>
  </r>
  <r>
    <x v="32"/>
    <x v="5"/>
    <x v="2"/>
    <x v="0"/>
    <x v="0"/>
    <x v="0"/>
    <x v="2"/>
    <n v="6.7"/>
    <n v="195"/>
    <n v="0"/>
    <n v="4.4000000000000004"/>
    <n v="4.3"/>
    <n v="23"/>
    <x v="0"/>
  </r>
  <r>
    <x v="33"/>
    <x v="6"/>
    <x v="3"/>
    <x v="2"/>
    <x v="0"/>
    <x v="2"/>
    <x v="1"/>
    <n v="12.8"/>
    <n v="490"/>
    <n v="40"/>
    <n v="4.9000000000000004"/>
    <n v="4.9000000000000004"/>
    <n v="39"/>
    <x v="0"/>
  </r>
  <r>
    <x v="34"/>
    <x v="6"/>
    <x v="4"/>
    <x v="0"/>
    <x v="0"/>
    <x v="0"/>
    <x v="0"/>
    <n v="7.5"/>
    <n v="220"/>
    <n v="15"/>
    <n v="4.7"/>
    <n v="4.5999999999999996"/>
    <n v="25"/>
    <x v="0"/>
  </r>
  <r>
    <x v="35"/>
    <x v="6"/>
    <x v="5"/>
    <x v="1"/>
    <x v="1"/>
    <x v="0"/>
    <x v="1"/>
    <n v="23.6"/>
    <n v="705"/>
    <n v="70"/>
    <n v="4.8"/>
    <n v="4.7"/>
    <n v="54"/>
    <x v="0"/>
  </r>
  <r>
    <x v="36"/>
    <x v="6"/>
    <x v="0"/>
    <x v="0"/>
    <x v="0"/>
    <x v="1"/>
    <x v="0"/>
    <n v="5.3"/>
    <n v="155"/>
    <n v="20"/>
    <n v="4.5"/>
    <n v="4.4000000000000004"/>
    <n v="19"/>
    <x v="0"/>
  </r>
  <r>
    <x v="37"/>
    <x v="6"/>
    <x v="1"/>
    <x v="3"/>
    <x v="0"/>
    <x v="0"/>
    <x v="2"/>
    <n v="4.7"/>
    <n v="110"/>
    <n v="0"/>
    <n v="4.4000000000000004"/>
    <n v="4.2"/>
    <n v="18"/>
    <x v="1"/>
  </r>
  <r>
    <x v="38"/>
    <x v="6"/>
    <x v="2"/>
    <x v="0"/>
    <x v="0"/>
    <x v="2"/>
    <x v="1"/>
    <n v="10.9"/>
    <n v="330"/>
    <n v="25"/>
    <n v="4.8"/>
    <n v="4.7"/>
    <n v="35"/>
    <x v="0"/>
  </r>
  <r>
    <x v="39"/>
    <x v="6"/>
    <x v="6"/>
    <x v="0"/>
    <x v="1"/>
    <x v="0"/>
    <x v="0"/>
    <n v="16.8"/>
    <n v="495"/>
    <n v="50"/>
    <n v="4.7"/>
    <n v="4.5999999999999996"/>
    <n v="40"/>
    <x v="0"/>
  </r>
  <r>
    <x v="40"/>
    <x v="7"/>
    <x v="3"/>
    <x v="3"/>
    <x v="0"/>
    <x v="1"/>
    <x v="0"/>
    <n v="3.9"/>
    <n v="92"/>
    <n v="5"/>
    <n v="4.5"/>
    <n v="4.3"/>
    <n v="15"/>
    <x v="0"/>
  </r>
  <r>
    <x v="41"/>
    <x v="7"/>
    <x v="4"/>
    <x v="2"/>
    <x v="0"/>
    <x v="2"/>
    <x v="1"/>
    <n v="15.2"/>
    <n v="575"/>
    <n v="50"/>
    <n v="4.9000000000000004"/>
    <n v="4.8"/>
    <n v="45"/>
    <x v="0"/>
  </r>
  <r>
    <x v="42"/>
    <x v="7"/>
    <x v="5"/>
    <x v="0"/>
    <x v="0"/>
    <x v="0"/>
    <x v="2"/>
    <n v="8.8000000000000007"/>
    <n v="255"/>
    <n v="0"/>
    <n v="4.5999999999999996"/>
    <n v="4.5"/>
    <n v="28"/>
    <x v="0"/>
  </r>
  <r>
    <x v="43"/>
    <x v="7"/>
    <x v="0"/>
    <x v="0"/>
    <x v="0"/>
    <x v="0"/>
    <x v="0"/>
    <n v="10.1"/>
    <n v="300"/>
    <n v="25"/>
    <n v="4.8"/>
    <n v="4.7"/>
    <n v="33"/>
    <x v="0"/>
  </r>
  <r>
    <x v="44"/>
    <x v="7"/>
    <x v="1"/>
    <x v="1"/>
    <x v="1"/>
    <x v="2"/>
    <x v="1"/>
    <n v="27.4"/>
    <n v="850"/>
    <n v="100"/>
    <n v="4.9000000000000004"/>
    <n v="4.9000000000000004"/>
    <n v="64"/>
    <x v="0"/>
  </r>
  <r>
    <x v="45"/>
    <x v="7"/>
    <x v="2"/>
    <x v="3"/>
    <x v="0"/>
    <x v="1"/>
    <x v="2"/>
    <n v="4.0999999999999996"/>
    <n v="95"/>
    <n v="0"/>
    <n v="4.2"/>
    <n v="4"/>
    <n v="17"/>
    <x v="0"/>
  </r>
  <r>
    <x v="46"/>
    <x v="8"/>
    <x v="3"/>
    <x v="0"/>
    <x v="0"/>
    <x v="0"/>
    <x v="0"/>
    <n v="7.9"/>
    <n v="230"/>
    <n v="20"/>
    <n v="4.7"/>
    <n v="4.5999999999999996"/>
    <n v="26"/>
    <x v="0"/>
  </r>
  <r>
    <x v="47"/>
    <x v="8"/>
    <x v="4"/>
    <x v="1"/>
    <x v="1"/>
    <x v="0"/>
    <x v="1"/>
    <n v="20.5"/>
    <n v="625"/>
    <n v="65"/>
    <n v="4.8"/>
    <n v="4.7"/>
    <n v="49"/>
    <x v="0"/>
  </r>
  <r>
    <x v="48"/>
    <x v="8"/>
    <x v="6"/>
    <x v="3"/>
    <x v="0"/>
    <x v="1"/>
    <x v="0"/>
    <n v="4.8"/>
    <n v="105"/>
    <n v="10"/>
    <n v="4.5999999999999996"/>
    <n v="4.4000000000000004"/>
    <n v="18"/>
    <x v="0"/>
  </r>
  <r>
    <x v="49"/>
    <x v="8"/>
    <x v="5"/>
    <x v="0"/>
    <x v="0"/>
    <x v="0"/>
    <x v="0"/>
    <n v="9.6"/>
    <n v="285"/>
    <n v="25"/>
    <n v="4.7"/>
    <n v="4.5999999999999996"/>
    <n v="3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5223A3-9096-432B-9426-7FEB0F64E9D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N11:O15" firstHeaderRow="1" firstDataRow="1" firstDataCol="1"/>
  <pivotFields count="14">
    <pivotField dataField="1" showAll="0"/>
    <pivotField numFmtId="15"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ide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9198C-5A71-4BDB-9395-17228BAE332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3">
  <location ref="E13:F23" firstHeaderRow="1" firstDataRow="1" firstDataCol="1"/>
  <pivotFields count="14">
    <pivotField showAll="0"/>
    <pivotField axis="axisRow" numFmtId="15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Fare_INR" fld="8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7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30A80-6D01-475C-9926-FB42E846DF3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H14:I18" firstHeaderRow="1" firstDataRow="1" firstDataCol="1"/>
  <pivotFields count="14">
    <pivotField dataField="1" showAll="0"/>
    <pivotField numFmtId="15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ide_ID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3BFA6-AD61-4B9E-8CF6-1ED3143029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H3:I11" firstHeaderRow="1" firstDataRow="1" firstDataCol="1"/>
  <pivotFields count="14">
    <pivotField showAll="0"/>
    <pivotField numFmtId="15" showAll="0"/>
    <pivotField axis="axisRow" showAll="0">
      <items count="8">
        <item x="0"/>
        <item x="4"/>
        <item x="2"/>
        <item x="3"/>
        <item x="6"/>
        <item x="1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Fare_INR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8B3A9-D65F-4921-9927-45AF7A15FE7F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K22:L25" firstHeaderRow="1" firstDataRow="1" firstDataCol="1"/>
  <pivotFields count="14">
    <pivotField dataField="1"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Ride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D6E09E-F2A6-48C4-93BC-110EEE9EF0A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K12:L15" firstHeaderRow="1" firstDataRow="1" firstDataCol="1"/>
  <pivotFields count="14">
    <pivotField showAll="0"/>
    <pivotField numFmtId="15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Fare_INR" fld="8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37B43-3D82-49F7-AC02-F56AEE1B2E0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H22:I27" firstHeaderRow="1" firstDataRow="1" firstDataCol="1"/>
  <pivotFields count="14">
    <pivotField showAll="0"/>
    <pivotField numFmtId="15"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ustomer_Rating" fld="11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2A06B8-DB03-4613-A936-18EDCA6DF72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K3:L8" firstHeaderRow="1" firstDataRow="1" firstDataCol="1"/>
  <pivotFields count="14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umFmtId="15"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ide_ID" fld="0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3E79E0-4AEC-44E5-824A-29A789E59360}" name="Table1" displayName="Table1" ref="A1:N51" totalsRowShown="0" headerRowDxfId="15" dataDxfId="14">
  <autoFilter ref="A1:N51" xr:uid="{C63E79E0-4AEC-44E5-824A-29A789E59360}"/>
  <tableColumns count="14">
    <tableColumn id="1" xr3:uid="{EE548335-4C7A-4B73-BAC5-94E8179275F6}" name="Ride_ID" dataDxfId="13"/>
    <tableColumn id="2" xr3:uid="{E2907E4A-7413-4A0D-AA6D-6D197FFB5DDB}" name="Date" dataDxfId="12"/>
    <tableColumn id="3" xr3:uid="{F70F965D-3CF1-4115-A760-AEF8A3F68C15}" name="City" dataDxfId="11"/>
    <tableColumn id="4" xr3:uid="{F1F9D47C-CB7B-4E32-A925-9CEA045BBDD7}" name="Vehicle_Type" dataDxfId="10"/>
    <tableColumn id="5" xr3:uid="{56F6ED28-A183-4578-BA50-53AA7E83BC53}" name="Trip_Type" dataDxfId="9"/>
    <tableColumn id="6" xr3:uid="{4A4C2259-9683-4681-9143-DE563CC2DA57}" name="Customer_Type" dataDxfId="8"/>
    <tableColumn id="7" xr3:uid="{81DA3C50-F7C0-479D-9E5A-EBEF6376BAA1}" name="Payment_Mode" dataDxfId="7"/>
    <tableColumn id="8" xr3:uid="{41CE856B-D67B-4AE6-8E5E-69FB098013ED}" name="Distance_KM" dataDxfId="6"/>
    <tableColumn id="9" xr3:uid="{0D1B375F-22C1-4C62-8FC8-A6E3ED8D2B8C}" name="Fare_INR" dataDxfId="5"/>
    <tableColumn id="10" xr3:uid="{B6F9D4F3-54F6-4CEE-A762-3D6EE3D4CA00}" name="Discount_INR" dataDxfId="4"/>
    <tableColumn id="11" xr3:uid="{A2373D42-7D2B-44D0-9163-998B309146A1}" name="Driver_Rating" dataDxfId="3"/>
    <tableColumn id="12" xr3:uid="{19E5991E-A301-4ECA-BD49-795D02992284}" name="Customer_Rating" dataDxfId="2"/>
    <tableColumn id="13" xr3:uid="{B72B5973-3C42-4844-8599-90E20FEB3BBB}" name="Trip_Duration_Min" dataDxfId="1"/>
    <tableColumn id="14" xr3:uid="{AA8696CA-66ED-4485-935B-00DB709A8142}" name="Status" dataDxfId="0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E4F3F7-BAA5-4123-A573-578214462FF3}" name="Table2" displayName="Table2" ref="D2:G7" totalsRowShown="0">
  <autoFilter ref="D2:G7" xr:uid="{1DE4F3F7-BAA5-4123-A573-578214462FF3}"/>
  <tableColumns count="4">
    <tableColumn id="1" xr3:uid="{34BB7021-D5CA-42D2-9E4B-7109F9737C68}" name="Column1"/>
    <tableColumn id="2" xr3:uid="{4350667D-E1DF-4225-AD75-94D994F2700A}" name="Column2"/>
    <tableColumn id="3" xr3:uid="{283A478B-2E57-42CA-8220-E7AB5B120629}" name="Column3"/>
    <tableColumn id="4" xr3:uid="{6495D6A5-7644-45DF-A0D9-DA1B1FBEB250}" name="Column4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2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C0FE4-F6F7-499A-9919-2A90515B4387}">
  <dimension ref="A1:AJ50"/>
  <sheetViews>
    <sheetView showGridLines="0" showRowColHeaders="0" tabSelected="1" zoomScale="60" zoomScaleNormal="60" workbookViewId="0">
      <selection activeCell="AM17" sqref="AM17"/>
    </sheetView>
  </sheetViews>
  <sheetFormatPr defaultRowHeight="14.4" x14ac:dyDescent="0.3"/>
  <sheetData>
    <row r="1" spans="1:36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1:36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36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 spans="1:36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6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</row>
    <row r="18" spans="1:36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</row>
    <row r="19" spans="1:36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</row>
    <row r="20" spans="1:36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</row>
    <row r="21" spans="1:36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</row>
    <row r="22" spans="1:36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</row>
    <row r="23" spans="1:36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</row>
    <row r="24" spans="1:36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</row>
    <row r="25" spans="1:36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</row>
    <row r="26" spans="1:36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</row>
    <row r="27" spans="1:36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</row>
    <row r="28" spans="1:36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</row>
    <row r="29" spans="1:36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0" spans="1:36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</row>
    <row r="31" spans="1:36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</row>
    <row r="32" spans="1:36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</row>
    <row r="33" spans="1:36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</row>
    <row r="34" spans="1:36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</row>
    <row r="35" spans="1:36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</row>
    <row r="36" spans="1:36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</row>
    <row r="37" spans="1:36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spans="1:36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</row>
    <row r="39" spans="1:36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</row>
    <row r="40" spans="1:36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</row>
    <row r="41" spans="1:36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</row>
    <row r="42" spans="1:36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</row>
    <row r="44" spans="1:36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</row>
    <row r="45" spans="1:36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</row>
    <row r="46" spans="1:36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</row>
    <row r="47" spans="1:36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 spans="1:36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</row>
    <row r="49" spans="1:36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</row>
    <row r="50" spans="1:36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</row>
  </sheetData>
  <pageMargins left="0.7" right="0.7" top="0.75" bottom="0.75" header="0.3" footer="0.3"/>
  <pageSetup scale="2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C497-0E56-43AE-8C5B-AD63BA2131E1}">
  <dimension ref="A1:P51"/>
  <sheetViews>
    <sheetView workbookViewId="0">
      <selection activeCell="P3" sqref="P3"/>
    </sheetView>
  </sheetViews>
  <sheetFormatPr defaultRowHeight="14.4" x14ac:dyDescent="0.3"/>
  <cols>
    <col min="1" max="1" width="9.21875" customWidth="1"/>
    <col min="2" max="2" width="14.44140625" customWidth="1"/>
    <col min="4" max="4" width="13.77734375" customWidth="1"/>
    <col min="5" max="5" width="10.77734375" customWidth="1"/>
    <col min="6" max="6" width="15.6640625" customWidth="1"/>
    <col min="7" max="7" width="15.5546875" customWidth="1"/>
    <col min="8" max="8" width="13.5546875" customWidth="1"/>
    <col min="9" max="9" width="13.109375" customWidth="1"/>
    <col min="10" max="10" width="14" customWidth="1"/>
    <col min="11" max="11" width="16.5546875" customWidth="1"/>
    <col min="12" max="12" width="17" customWidth="1"/>
    <col min="13" max="13" width="25.5546875" customWidth="1"/>
    <col min="17" max="17" width="29.21875" customWidth="1"/>
  </cols>
  <sheetData>
    <row r="1" spans="1:1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</row>
    <row r="2" spans="1:16" ht="28.8" x14ac:dyDescent="0.3">
      <c r="A2" s="4" t="s">
        <v>14</v>
      </c>
      <c r="B2" s="5">
        <v>46235</v>
      </c>
      <c r="C2" s="4" t="s">
        <v>15</v>
      </c>
      <c r="D2" s="4" t="s">
        <v>16</v>
      </c>
      <c r="E2" s="4" t="s">
        <v>2</v>
      </c>
      <c r="F2" s="4" t="s">
        <v>17</v>
      </c>
      <c r="G2" s="4" t="s">
        <v>18</v>
      </c>
      <c r="H2" s="2">
        <v>8.5</v>
      </c>
      <c r="I2" s="2">
        <v>245</v>
      </c>
      <c r="J2" s="2">
        <v>20</v>
      </c>
      <c r="K2" s="2">
        <v>4.8</v>
      </c>
      <c r="L2" s="2">
        <v>4.7</v>
      </c>
      <c r="M2" s="2">
        <v>28</v>
      </c>
      <c r="N2" s="4" t="s">
        <v>19</v>
      </c>
      <c r="P2">
        <f>SUM(Table1[Trip_Duration_Min])</f>
        <v>1679</v>
      </c>
    </row>
    <row r="3" spans="1:16" ht="28.8" x14ac:dyDescent="0.3">
      <c r="A3" s="4" t="s">
        <v>20</v>
      </c>
      <c r="B3" s="5">
        <v>46235</v>
      </c>
      <c r="C3" s="4" t="s">
        <v>21</v>
      </c>
      <c r="D3" s="4" t="s">
        <v>16</v>
      </c>
      <c r="E3" s="4" t="s">
        <v>2</v>
      </c>
      <c r="F3" s="4" t="s">
        <v>22</v>
      </c>
      <c r="G3" s="4" t="s">
        <v>23</v>
      </c>
      <c r="H3" s="2">
        <v>12.2</v>
      </c>
      <c r="I3" s="2">
        <v>385</v>
      </c>
      <c r="J3" s="2">
        <v>50</v>
      </c>
      <c r="K3" s="2">
        <v>4.5999999999999996</v>
      </c>
      <c r="L3" s="2">
        <v>4.5</v>
      </c>
      <c r="M3" s="2">
        <v>41</v>
      </c>
      <c r="N3" s="4" t="s">
        <v>19</v>
      </c>
    </row>
    <row r="4" spans="1:16" ht="28.8" x14ac:dyDescent="0.3">
      <c r="A4" s="4" t="s">
        <v>24</v>
      </c>
      <c r="B4" s="5">
        <v>46235</v>
      </c>
      <c r="C4" s="4" t="s">
        <v>25</v>
      </c>
      <c r="D4" s="4" t="s">
        <v>26</v>
      </c>
      <c r="E4" s="4" t="s">
        <v>27</v>
      </c>
      <c r="F4" s="4" t="s">
        <v>17</v>
      </c>
      <c r="G4" s="4" t="s">
        <v>18</v>
      </c>
      <c r="H4" s="2">
        <v>24.5</v>
      </c>
      <c r="I4" s="2">
        <v>720</v>
      </c>
      <c r="J4" s="2">
        <v>80</v>
      </c>
      <c r="K4" s="2">
        <v>4.9000000000000004</v>
      </c>
      <c r="L4" s="2">
        <v>4.8</v>
      </c>
      <c r="M4" s="2">
        <v>55</v>
      </c>
      <c r="N4" s="4" t="s">
        <v>19</v>
      </c>
    </row>
    <row r="5" spans="1:16" ht="28.8" x14ac:dyDescent="0.3">
      <c r="A5" s="4" t="s">
        <v>28</v>
      </c>
      <c r="B5" s="5">
        <v>46235</v>
      </c>
      <c r="C5" s="4" t="s">
        <v>29</v>
      </c>
      <c r="D5" s="4" t="s">
        <v>16</v>
      </c>
      <c r="E5" s="4" t="s">
        <v>2</v>
      </c>
      <c r="F5" s="4" t="s">
        <v>17</v>
      </c>
      <c r="G5" s="4" t="s">
        <v>30</v>
      </c>
      <c r="H5" s="2">
        <v>6.8</v>
      </c>
      <c r="I5" s="2">
        <v>190</v>
      </c>
      <c r="J5" s="2">
        <v>0</v>
      </c>
      <c r="K5" s="2">
        <v>4.5</v>
      </c>
      <c r="L5" s="2">
        <v>4.5999999999999996</v>
      </c>
      <c r="M5" s="2">
        <v>22</v>
      </c>
      <c r="N5" s="4" t="s">
        <v>19</v>
      </c>
    </row>
    <row r="6" spans="1:16" ht="28.8" x14ac:dyDescent="0.3">
      <c r="A6" s="4" t="s">
        <v>31</v>
      </c>
      <c r="B6" s="5">
        <v>46235</v>
      </c>
      <c r="C6" s="4" t="s">
        <v>32</v>
      </c>
      <c r="D6" s="4" t="s">
        <v>33</v>
      </c>
      <c r="E6" s="4" t="s">
        <v>2</v>
      </c>
      <c r="F6" s="4" t="s">
        <v>34</v>
      </c>
      <c r="G6" s="4" t="s">
        <v>23</v>
      </c>
      <c r="H6" s="2">
        <v>10.4</v>
      </c>
      <c r="I6" s="2">
        <v>410</v>
      </c>
      <c r="J6" s="2">
        <v>30</v>
      </c>
      <c r="K6" s="2">
        <v>4.9000000000000004</v>
      </c>
      <c r="L6" s="2">
        <v>4.9000000000000004</v>
      </c>
      <c r="M6" s="2">
        <v>35</v>
      </c>
      <c r="N6" s="4" t="s">
        <v>19</v>
      </c>
    </row>
    <row r="7" spans="1:16" ht="28.8" x14ac:dyDescent="0.3">
      <c r="A7" s="4" t="s">
        <v>35</v>
      </c>
      <c r="B7" s="5">
        <v>46236</v>
      </c>
      <c r="C7" s="4" t="s">
        <v>36</v>
      </c>
      <c r="D7" s="4" t="s">
        <v>16</v>
      </c>
      <c r="E7" s="4" t="s">
        <v>2</v>
      </c>
      <c r="F7" s="4" t="s">
        <v>22</v>
      </c>
      <c r="G7" s="4" t="s">
        <v>18</v>
      </c>
      <c r="H7" s="2">
        <v>7.2</v>
      </c>
      <c r="I7" s="2">
        <v>215</v>
      </c>
      <c r="J7" s="2">
        <v>25</v>
      </c>
      <c r="K7" s="2">
        <v>4.7</v>
      </c>
      <c r="L7" s="2">
        <v>4.4000000000000004</v>
      </c>
      <c r="M7" s="2">
        <v>25</v>
      </c>
      <c r="N7" s="4" t="s">
        <v>19</v>
      </c>
    </row>
    <row r="8" spans="1:16" ht="28.8" x14ac:dyDescent="0.3">
      <c r="A8" s="4" t="s">
        <v>37</v>
      </c>
      <c r="B8" s="5">
        <v>46236</v>
      </c>
      <c r="C8" s="4" t="s">
        <v>15</v>
      </c>
      <c r="D8" s="4" t="s">
        <v>38</v>
      </c>
      <c r="E8" s="4" t="s">
        <v>2</v>
      </c>
      <c r="F8" s="4" t="s">
        <v>17</v>
      </c>
      <c r="G8" s="4" t="s">
        <v>18</v>
      </c>
      <c r="H8" s="2">
        <v>4.5</v>
      </c>
      <c r="I8" s="2">
        <v>105</v>
      </c>
      <c r="J8" s="2">
        <v>10</v>
      </c>
      <c r="K8" s="2">
        <v>4.5999999999999996</v>
      </c>
      <c r="L8" s="2">
        <v>4.5</v>
      </c>
      <c r="M8" s="2">
        <v>18</v>
      </c>
      <c r="N8" s="4" t="s">
        <v>19</v>
      </c>
    </row>
    <row r="9" spans="1:16" ht="28.8" x14ac:dyDescent="0.3">
      <c r="A9" s="4" t="s">
        <v>39</v>
      </c>
      <c r="B9" s="5">
        <v>46236</v>
      </c>
      <c r="C9" s="4" t="s">
        <v>21</v>
      </c>
      <c r="D9" s="4" t="s">
        <v>26</v>
      </c>
      <c r="E9" s="4" t="s">
        <v>27</v>
      </c>
      <c r="F9" s="4" t="s">
        <v>34</v>
      </c>
      <c r="G9" s="4" t="s">
        <v>23</v>
      </c>
      <c r="H9" s="2">
        <v>28.7</v>
      </c>
      <c r="I9" s="2">
        <v>890</v>
      </c>
      <c r="J9" s="2">
        <v>100</v>
      </c>
      <c r="K9" s="2">
        <v>4.8</v>
      </c>
      <c r="L9" s="2">
        <v>4.9000000000000004</v>
      </c>
      <c r="M9" s="2">
        <v>67</v>
      </c>
      <c r="N9" s="4" t="s">
        <v>19</v>
      </c>
    </row>
    <row r="10" spans="1:16" ht="28.8" x14ac:dyDescent="0.3">
      <c r="A10" s="4" t="s">
        <v>40</v>
      </c>
      <c r="B10" s="5">
        <v>46236</v>
      </c>
      <c r="C10" s="4" t="s">
        <v>25</v>
      </c>
      <c r="D10" s="4" t="s">
        <v>16</v>
      </c>
      <c r="E10" s="4" t="s">
        <v>2</v>
      </c>
      <c r="F10" s="4" t="s">
        <v>17</v>
      </c>
      <c r="G10" s="4" t="s">
        <v>30</v>
      </c>
      <c r="H10" s="2">
        <v>9.8000000000000007</v>
      </c>
      <c r="I10" s="2">
        <v>290</v>
      </c>
      <c r="J10" s="2">
        <v>0</v>
      </c>
      <c r="K10" s="2">
        <v>4.4000000000000004</v>
      </c>
      <c r="L10" s="2">
        <v>4.2</v>
      </c>
      <c r="M10" s="2">
        <v>31</v>
      </c>
      <c r="N10" s="4" t="s">
        <v>19</v>
      </c>
    </row>
    <row r="11" spans="1:16" ht="28.8" x14ac:dyDescent="0.3">
      <c r="A11" s="4" t="s">
        <v>41</v>
      </c>
      <c r="B11" s="5">
        <v>46236</v>
      </c>
      <c r="C11" s="4" t="s">
        <v>42</v>
      </c>
      <c r="D11" s="4" t="s">
        <v>16</v>
      </c>
      <c r="E11" s="4" t="s">
        <v>27</v>
      </c>
      <c r="F11" s="4" t="s">
        <v>22</v>
      </c>
      <c r="G11" s="4" t="s">
        <v>18</v>
      </c>
      <c r="H11" s="2">
        <v>18.5</v>
      </c>
      <c r="I11" s="2">
        <v>540</v>
      </c>
      <c r="J11" s="2">
        <v>60</v>
      </c>
      <c r="K11" s="2">
        <v>4.7</v>
      </c>
      <c r="L11" s="2">
        <v>4.5999999999999996</v>
      </c>
      <c r="M11" s="2">
        <v>44</v>
      </c>
      <c r="N11" s="4" t="s">
        <v>19</v>
      </c>
    </row>
    <row r="12" spans="1:16" ht="28.8" x14ac:dyDescent="0.3">
      <c r="A12" s="4" t="s">
        <v>43</v>
      </c>
      <c r="B12" s="5">
        <v>46237</v>
      </c>
      <c r="C12" s="4" t="s">
        <v>15</v>
      </c>
      <c r="D12" s="4" t="s">
        <v>33</v>
      </c>
      <c r="E12" s="4" t="s">
        <v>2</v>
      </c>
      <c r="F12" s="4" t="s">
        <v>34</v>
      </c>
      <c r="G12" s="4" t="s">
        <v>23</v>
      </c>
      <c r="H12" s="2">
        <v>14.2</v>
      </c>
      <c r="I12" s="2">
        <v>560</v>
      </c>
      <c r="J12" s="2">
        <v>40</v>
      </c>
      <c r="K12" s="2">
        <v>4.9000000000000004</v>
      </c>
      <c r="L12" s="2">
        <v>4.8</v>
      </c>
      <c r="M12" s="2">
        <v>43</v>
      </c>
      <c r="N12" s="4" t="s">
        <v>19</v>
      </c>
    </row>
    <row r="13" spans="1:16" ht="28.8" x14ac:dyDescent="0.3">
      <c r="A13" s="4" t="s">
        <v>44</v>
      </c>
      <c r="B13" s="5">
        <v>46237</v>
      </c>
      <c r="C13" s="4" t="s">
        <v>21</v>
      </c>
      <c r="D13" s="4" t="s">
        <v>16</v>
      </c>
      <c r="E13" s="4" t="s">
        <v>2</v>
      </c>
      <c r="F13" s="4" t="s">
        <v>17</v>
      </c>
      <c r="G13" s="4" t="s">
        <v>18</v>
      </c>
      <c r="H13" s="2">
        <v>5.7</v>
      </c>
      <c r="I13" s="2">
        <v>175</v>
      </c>
      <c r="J13" s="2">
        <v>15</v>
      </c>
      <c r="K13" s="2">
        <v>4.5999999999999996</v>
      </c>
      <c r="L13" s="2">
        <v>4.7</v>
      </c>
      <c r="M13" s="2">
        <v>20</v>
      </c>
      <c r="N13" s="4" t="s">
        <v>19</v>
      </c>
    </row>
    <row r="14" spans="1:16" ht="28.8" x14ac:dyDescent="0.3">
      <c r="A14" s="4" t="s">
        <v>45</v>
      </c>
      <c r="B14" s="5">
        <v>46237</v>
      </c>
      <c r="C14" s="4" t="s">
        <v>25</v>
      </c>
      <c r="D14" s="4" t="s">
        <v>38</v>
      </c>
      <c r="E14" s="4" t="s">
        <v>2</v>
      </c>
      <c r="F14" s="4" t="s">
        <v>22</v>
      </c>
      <c r="G14" s="4" t="s">
        <v>30</v>
      </c>
      <c r="H14" s="2">
        <v>3.8</v>
      </c>
      <c r="I14" s="2">
        <v>90</v>
      </c>
      <c r="J14" s="2">
        <v>0</v>
      </c>
      <c r="K14" s="2">
        <v>4.3</v>
      </c>
      <c r="L14" s="2">
        <v>4.0999999999999996</v>
      </c>
      <c r="M14" s="2">
        <v>16</v>
      </c>
      <c r="N14" s="4" t="s">
        <v>19</v>
      </c>
    </row>
    <row r="15" spans="1:16" ht="28.8" x14ac:dyDescent="0.3">
      <c r="A15" s="4" t="s">
        <v>46</v>
      </c>
      <c r="B15" s="5">
        <v>46237</v>
      </c>
      <c r="C15" s="4" t="s">
        <v>29</v>
      </c>
      <c r="D15" s="4" t="s">
        <v>26</v>
      </c>
      <c r="E15" s="4" t="s">
        <v>27</v>
      </c>
      <c r="F15" s="4" t="s">
        <v>17</v>
      </c>
      <c r="G15" s="4" t="s">
        <v>23</v>
      </c>
      <c r="H15" s="2">
        <v>22.4</v>
      </c>
      <c r="I15" s="2">
        <v>680</v>
      </c>
      <c r="J15" s="2">
        <v>70</v>
      </c>
      <c r="K15" s="2">
        <v>4.8</v>
      </c>
      <c r="L15" s="2">
        <v>4.7</v>
      </c>
      <c r="M15" s="2">
        <v>52</v>
      </c>
      <c r="N15" s="4" t="s">
        <v>19</v>
      </c>
    </row>
    <row r="16" spans="1:16" ht="28.8" x14ac:dyDescent="0.3">
      <c r="A16" s="4" t="s">
        <v>47</v>
      </c>
      <c r="B16" s="5">
        <v>46237</v>
      </c>
      <c r="C16" s="4" t="s">
        <v>32</v>
      </c>
      <c r="D16" s="4" t="s">
        <v>16</v>
      </c>
      <c r="E16" s="4" t="s">
        <v>2</v>
      </c>
      <c r="F16" s="4" t="s">
        <v>17</v>
      </c>
      <c r="G16" s="4" t="s">
        <v>18</v>
      </c>
      <c r="H16" s="2">
        <v>8.9</v>
      </c>
      <c r="I16" s="2">
        <v>260</v>
      </c>
      <c r="J16" s="2">
        <v>20</v>
      </c>
      <c r="K16" s="2">
        <v>4.7</v>
      </c>
      <c r="L16" s="2">
        <v>4.5999999999999996</v>
      </c>
      <c r="M16" s="2">
        <v>29</v>
      </c>
      <c r="N16" s="4" t="s">
        <v>19</v>
      </c>
    </row>
    <row r="17" spans="1:14" ht="28.8" x14ac:dyDescent="0.3">
      <c r="A17" s="4" t="s">
        <v>48</v>
      </c>
      <c r="B17" s="5">
        <v>46237</v>
      </c>
      <c r="C17" s="4" t="s">
        <v>36</v>
      </c>
      <c r="D17" s="4" t="s">
        <v>33</v>
      </c>
      <c r="E17" s="4" t="s">
        <v>2</v>
      </c>
      <c r="F17" s="4" t="s">
        <v>34</v>
      </c>
      <c r="G17" s="4" t="s">
        <v>23</v>
      </c>
      <c r="H17" s="2">
        <v>11.5</v>
      </c>
      <c r="I17" s="2">
        <v>450</v>
      </c>
      <c r="J17" s="2">
        <v>35</v>
      </c>
      <c r="K17" s="2">
        <v>4.9000000000000004</v>
      </c>
      <c r="L17" s="2">
        <v>4.9000000000000004</v>
      </c>
      <c r="M17" s="2">
        <v>37</v>
      </c>
      <c r="N17" s="4" t="s">
        <v>19</v>
      </c>
    </row>
    <row r="18" spans="1:14" ht="28.8" x14ac:dyDescent="0.3">
      <c r="A18" s="4" t="s">
        <v>49</v>
      </c>
      <c r="B18" s="5">
        <v>46238</v>
      </c>
      <c r="C18" s="4" t="s">
        <v>15</v>
      </c>
      <c r="D18" s="4" t="s">
        <v>16</v>
      </c>
      <c r="E18" s="4" t="s">
        <v>2</v>
      </c>
      <c r="F18" s="4" t="s">
        <v>22</v>
      </c>
      <c r="G18" s="4" t="s">
        <v>18</v>
      </c>
      <c r="H18" s="2">
        <v>6.4</v>
      </c>
      <c r="I18" s="2">
        <v>185</v>
      </c>
      <c r="J18" s="2">
        <v>20</v>
      </c>
      <c r="K18" s="2">
        <v>4.5</v>
      </c>
      <c r="L18" s="2">
        <v>4.3</v>
      </c>
      <c r="M18" s="2">
        <v>23</v>
      </c>
      <c r="N18" s="4" t="s">
        <v>50</v>
      </c>
    </row>
    <row r="19" spans="1:14" ht="28.8" x14ac:dyDescent="0.3">
      <c r="A19" s="4" t="s">
        <v>51</v>
      </c>
      <c r="B19" s="5">
        <v>46238</v>
      </c>
      <c r="C19" s="4" t="s">
        <v>21</v>
      </c>
      <c r="D19" s="4" t="s">
        <v>16</v>
      </c>
      <c r="E19" s="4" t="s">
        <v>2</v>
      </c>
      <c r="F19" s="4" t="s">
        <v>17</v>
      </c>
      <c r="G19" s="4" t="s">
        <v>30</v>
      </c>
      <c r="H19" s="2">
        <v>10.6</v>
      </c>
      <c r="I19" s="2">
        <v>320</v>
      </c>
      <c r="J19" s="2">
        <v>0</v>
      </c>
      <c r="K19" s="2">
        <v>4.7</v>
      </c>
      <c r="L19" s="2">
        <v>4.5</v>
      </c>
      <c r="M19" s="2">
        <v>34</v>
      </c>
      <c r="N19" s="4" t="s">
        <v>19</v>
      </c>
    </row>
    <row r="20" spans="1:14" ht="28.8" x14ac:dyDescent="0.3">
      <c r="A20" s="4" t="s">
        <v>52</v>
      </c>
      <c r="B20" s="5">
        <v>46238</v>
      </c>
      <c r="C20" s="4" t="s">
        <v>25</v>
      </c>
      <c r="D20" s="4" t="s">
        <v>33</v>
      </c>
      <c r="E20" s="4" t="s">
        <v>27</v>
      </c>
      <c r="F20" s="4" t="s">
        <v>34</v>
      </c>
      <c r="G20" s="4" t="s">
        <v>23</v>
      </c>
      <c r="H20" s="2">
        <v>26.3</v>
      </c>
      <c r="I20" s="2">
        <v>840</v>
      </c>
      <c r="J20" s="2">
        <v>90</v>
      </c>
      <c r="K20" s="2">
        <v>4.9000000000000004</v>
      </c>
      <c r="L20" s="2">
        <v>4.8</v>
      </c>
      <c r="M20" s="2">
        <v>61</v>
      </c>
      <c r="N20" s="4" t="s">
        <v>19</v>
      </c>
    </row>
    <row r="21" spans="1:14" ht="28.8" x14ac:dyDescent="0.3">
      <c r="A21" s="4" t="s">
        <v>53</v>
      </c>
      <c r="B21" s="5">
        <v>46238</v>
      </c>
      <c r="C21" s="4" t="s">
        <v>42</v>
      </c>
      <c r="D21" s="4" t="s">
        <v>38</v>
      </c>
      <c r="E21" s="4" t="s">
        <v>2</v>
      </c>
      <c r="F21" s="4" t="s">
        <v>17</v>
      </c>
      <c r="G21" s="4" t="s">
        <v>18</v>
      </c>
      <c r="H21" s="2">
        <v>5.0999999999999996</v>
      </c>
      <c r="I21" s="2">
        <v>115</v>
      </c>
      <c r="J21" s="2">
        <v>10</v>
      </c>
      <c r="K21" s="2">
        <v>4.5</v>
      </c>
      <c r="L21" s="2">
        <v>4.4000000000000004</v>
      </c>
      <c r="M21" s="2">
        <v>19</v>
      </c>
      <c r="N21" s="4" t="s">
        <v>19</v>
      </c>
    </row>
    <row r="22" spans="1:14" ht="28.8" x14ac:dyDescent="0.3">
      <c r="A22" s="4" t="s">
        <v>54</v>
      </c>
      <c r="B22" s="5">
        <v>46238</v>
      </c>
      <c r="C22" s="4" t="s">
        <v>29</v>
      </c>
      <c r="D22" s="4" t="s">
        <v>16</v>
      </c>
      <c r="E22" s="4" t="s">
        <v>2</v>
      </c>
      <c r="F22" s="4" t="s">
        <v>17</v>
      </c>
      <c r="G22" s="4" t="s">
        <v>18</v>
      </c>
      <c r="H22" s="2">
        <v>9.3000000000000007</v>
      </c>
      <c r="I22" s="2">
        <v>275</v>
      </c>
      <c r="J22" s="2">
        <v>25</v>
      </c>
      <c r="K22" s="2">
        <v>4.5999999999999996</v>
      </c>
      <c r="L22" s="2">
        <v>4.7</v>
      </c>
      <c r="M22" s="2">
        <v>30</v>
      </c>
      <c r="N22" s="4" t="s">
        <v>19</v>
      </c>
    </row>
    <row r="23" spans="1:14" ht="28.8" x14ac:dyDescent="0.3">
      <c r="A23" s="4" t="s">
        <v>55</v>
      </c>
      <c r="B23" s="5">
        <v>46238</v>
      </c>
      <c r="C23" s="4" t="s">
        <v>32</v>
      </c>
      <c r="D23" s="4" t="s">
        <v>26</v>
      </c>
      <c r="E23" s="4" t="s">
        <v>27</v>
      </c>
      <c r="F23" s="4" t="s">
        <v>22</v>
      </c>
      <c r="G23" s="4" t="s">
        <v>23</v>
      </c>
      <c r="H23" s="2">
        <v>21.8</v>
      </c>
      <c r="I23" s="2">
        <v>650</v>
      </c>
      <c r="J23" s="2">
        <v>75</v>
      </c>
      <c r="K23" s="2">
        <v>4.7</v>
      </c>
      <c r="L23" s="2">
        <v>4.5</v>
      </c>
      <c r="M23" s="2">
        <v>50</v>
      </c>
      <c r="N23" s="4" t="s">
        <v>19</v>
      </c>
    </row>
    <row r="24" spans="1:14" ht="28.8" x14ac:dyDescent="0.3">
      <c r="A24" s="4" t="s">
        <v>56</v>
      </c>
      <c r="B24" s="5">
        <v>46239</v>
      </c>
      <c r="C24" s="4" t="s">
        <v>36</v>
      </c>
      <c r="D24" s="4" t="s">
        <v>16</v>
      </c>
      <c r="E24" s="4" t="s">
        <v>2</v>
      </c>
      <c r="F24" s="4" t="s">
        <v>17</v>
      </c>
      <c r="G24" s="4" t="s">
        <v>30</v>
      </c>
      <c r="H24" s="2">
        <v>7.6</v>
      </c>
      <c r="I24" s="2">
        <v>225</v>
      </c>
      <c r="J24" s="2">
        <v>0</v>
      </c>
      <c r="K24" s="2">
        <v>4.4000000000000004</v>
      </c>
      <c r="L24" s="2">
        <v>4.3</v>
      </c>
      <c r="M24" s="2">
        <v>26</v>
      </c>
      <c r="N24" s="4" t="s">
        <v>19</v>
      </c>
    </row>
    <row r="25" spans="1:14" ht="28.8" x14ac:dyDescent="0.3">
      <c r="A25" s="4" t="s">
        <v>57</v>
      </c>
      <c r="B25" s="5">
        <v>46239</v>
      </c>
      <c r="C25" s="4" t="s">
        <v>15</v>
      </c>
      <c r="D25" s="4" t="s">
        <v>38</v>
      </c>
      <c r="E25" s="4" t="s">
        <v>2</v>
      </c>
      <c r="F25" s="4" t="s">
        <v>22</v>
      </c>
      <c r="G25" s="4" t="s">
        <v>18</v>
      </c>
      <c r="H25" s="2">
        <v>3.2</v>
      </c>
      <c r="I25" s="2">
        <v>80</v>
      </c>
      <c r="J25" s="2">
        <v>5</v>
      </c>
      <c r="K25" s="2">
        <v>4.5</v>
      </c>
      <c r="L25" s="2">
        <v>4.2</v>
      </c>
      <c r="M25" s="2">
        <v>14</v>
      </c>
      <c r="N25" s="4" t="s">
        <v>19</v>
      </c>
    </row>
    <row r="26" spans="1:14" ht="28.8" x14ac:dyDescent="0.3">
      <c r="A26" s="4" t="s">
        <v>58</v>
      </c>
      <c r="B26" s="5">
        <v>46239</v>
      </c>
      <c r="C26" s="4" t="s">
        <v>21</v>
      </c>
      <c r="D26" s="4" t="s">
        <v>33</v>
      </c>
      <c r="E26" s="4" t="s">
        <v>2</v>
      </c>
      <c r="F26" s="4" t="s">
        <v>34</v>
      </c>
      <c r="G26" s="4" t="s">
        <v>23</v>
      </c>
      <c r="H26" s="2">
        <v>13.7</v>
      </c>
      <c r="I26" s="2">
        <v>525</v>
      </c>
      <c r="J26" s="2">
        <v>45</v>
      </c>
      <c r="K26" s="2">
        <v>4.9000000000000004</v>
      </c>
      <c r="L26" s="2">
        <v>4.9000000000000004</v>
      </c>
      <c r="M26" s="2">
        <v>42</v>
      </c>
      <c r="N26" s="4" t="s">
        <v>19</v>
      </c>
    </row>
    <row r="27" spans="1:14" ht="28.8" x14ac:dyDescent="0.3">
      <c r="A27" s="4" t="s">
        <v>59</v>
      </c>
      <c r="B27" s="5">
        <v>46239</v>
      </c>
      <c r="C27" s="4" t="s">
        <v>25</v>
      </c>
      <c r="D27" s="4" t="s">
        <v>16</v>
      </c>
      <c r="E27" s="4" t="s">
        <v>2</v>
      </c>
      <c r="F27" s="4" t="s">
        <v>17</v>
      </c>
      <c r="G27" s="4" t="s">
        <v>18</v>
      </c>
      <c r="H27" s="2">
        <v>11.4</v>
      </c>
      <c r="I27" s="2">
        <v>335</v>
      </c>
      <c r="J27" s="2">
        <v>30</v>
      </c>
      <c r="K27" s="2">
        <v>4.8</v>
      </c>
      <c r="L27" s="2">
        <v>4.7</v>
      </c>
      <c r="M27" s="2">
        <v>36</v>
      </c>
      <c r="N27" s="4" t="s">
        <v>19</v>
      </c>
    </row>
    <row r="28" spans="1:14" ht="28.8" x14ac:dyDescent="0.3">
      <c r="A28" s="4" t="s">
        <v>60</v>
      </c>
      <c r="B28" s="5">
        <v>46239</v>
      </c>
      <c r="C28" s="4" t="s">
        <v>29</v>
      </c>
      <c r="D28" s="4" t="s">
        <v>16</v>
      </c>
      <c r="E28" s="4" t="s">
        <v>2</v>
      </c>
      <c r="F28" s="4" t="s">
        <v>22</v>
      </c>
      <c r="G28" s="4" t="s">
        <v>30</v>
      </c>
      <c r="H28" s="2">
        <v>5.9</v>
      </c>
      <c r="I28" s="2">
        <v>165</v>
      </c>
      <c r="J28" s="2">
        <v>0</v>
      </c>
      <c r="K28" s="2">
        <v>4.3</v>
      </c>
      <c r="L28" s="2">
        <v>4.0999999999999996</v>
      </c>
      <c r="M28" s="2">
        <v>21</v>
      </c>
      <c r="N28" s="4" t="s">
        <v>50</v>
      </c>
    </row>
    <row r="29" spans="1:14" ht="28.8" x14ac:dyDescent="0.3">
      <c r="A29" s="4" t="s">
        <v>61</v>
      </c>
      <c r="B29" s="5">
        <v>46239</v>
      </c>
      <c r="C29" s="4" t="s">
        <v>32</v>
      </c>
      <c r="D29" s="4" t="s">
        <v>16</v>
      </c>
      <c r="E29" s="4" t="s">
        <v>2</v>
      </c>
      <c r="F29" s="4" t="s">
        <v>17</v>
      </c>
      <c r="G29" s="4" t="s">
        <v>18</v>
      </c>
      <c r="H29" s="2">
        <v>8.1999999999999993</v>
      </c>
      <c r="I29" s="2">
        <v>240</v>
      </c>
      <c r="J29" s="2">
        <v>20</v>
      </c>
      <c r="K29" s="2">
        <v>4.5999999999999996</v>
      </c>
      <c r="L29" s="2">
        <v>4.5</v>
      </c>
      <c r="M29" s="2">
        <v>27</v>
      </c>
      <c r="N29" s="4" t="s">
        <v>19</v>
      </c>
    </row>
    <row r="30" spans="1:14" ht="28.8" x14ac:dyDescent="0.3">
      <c r="A30" s="4" t="s">
        <v>62</v>
      </c>
      <c r="B30" s="5">
        <v>46240</v>
      </c>
      <c r="C30" s="4" t="s">
        <v>42</v>
      </c>
      <c r="D30" s="4" t="s">
        <v>33</v>
      </c>
      <c r="E30" s="4" t="s">
        <v>27</v>
      </c>
      <c r="F30" s="4" t="s">
        <v>34</v>
      </c>
      <c r="G30" s="4" t="s">
        <v>23</v>
      </c>
      <c r="H30" s="2">
        <v>19.600000000000001</v>
      </c>
      <c r="I30" s="2">
        <v>610</v>
      </c>
      <c r="J30" s="2">
        <v>60</v>
      </c>
      <c r="K30" s="2">
        <v>4.8</v>
      </c>
      <c r="L30" s="2">
        <v>4.8</v>
      </c>
      <c r="M30" s="2">
        <v>47</v>
      </c>
      <c r="N30" s="4" t="s">
        <v>19</v>
      </c>
    </row>
    <row r="31" spans="1:14" ht="28.8" x14ac:dyDescent="0.3">
      <c r="A31" s="4" t="s">
        <v>63</v>
      </c>
      <c r="B31" s="5">
        <v>46240</v>
      </c>
      <c r="C31" s="4" t="s">
        <v>36</v>
      </c>
      <c r="D31" s="4" t="s">
        <v>38</v>
      </c>
      <c r="E31" s="4" t="s">
        <v>2</v>
      </c>
      <c r="F31" s="4" t="s">
        <v>17</v>
      </c>
      <c r="G31" s="4" t="s">
        <v>18</v>
      </c>
      <c r="H31" s="2">
        <v>4.2</v>
      </c>
      <c r="I31" s="2">
        <v>95</v>
      </c>
      <c r="J31" s="2">
        <v>5</v>
      </c>
      <c r="K31" s="2">
        <v>4.5</v>
      </c>
      <c r="L31" s="2">
        <v>4.4000000000000004</v>
      </c>
      <c r="M31" s="2">
        <v>17</v>
      </c>
      <c r="N31" s="4" t="s">
        <v>19</v>
      </c>
    </row>
    <row r="32" spans="1:14" ht="28.8" x14ac:dyDescent="0.3">
      <c r="A32" s="4" t="s">
        <v>64</v>
      </c>
      <c r="B32" s="5">
        <v>46240</v>
      </c>
      <c r="C32" s="4" t="s">
        <v>15</v>
      </c>
      <c r="D32" s="4" t="s">
        <v>26</v>
      </c>
      <c r="E32" s="4" t="s">
        <v>27</v>
      </c>
      <c r="F32" s="4" t="s">
        <v>17</v>
      </c>
      <c r="G32" s="4" t="s">
        <v>23</v>
      </c>
      <c r="H32" s="2">
        <v>25.8</v>
      </c>
      <c r="I32" s="2">
        <v>795</v>
      </c>
      <c r="J32" s="2">
        <v>85</v>
      </c>
      <c r="K32" s="2">
        <v>4.9000000000000004</v>
      </c>
      <c r="L32" s="2">
        <v>4.8</v>
      </c>
      <c r="M32" s="2">
        <v>59</v>
      </c>
      <c r="N32" s="4" t="s">
        <v>19</v>
      </c>
    </row>
    <row r="33" spans="1:14" ht="28.8" x14ac:dyDescent="0.3">
      <c r="A33" s="4" t="s">
        <v>65</v>
      </c>
      <c r="B33" s="5">
        <v>46240</v>
      </c>
      <c r="C33" s="4" t="s">
        <v>21</v>
      </c>
      <c r="D33" s="4" t="s">
        <v>16</v>
      </c>
      <c r="E33" s="4" t="s">
        <v>2</v>
      </c>
      <c r="F33" s="4" t="s">
        <v>22</v>
      </c>
      <c r="G33" s="4" t="s">
        <v>18</v>
      </c>
      <c r="H33" s="2">
        <v>9.1</v>
      </c>
      <c r="I33" s="2">
        <v>270</v>
      </c>
      <c r="J33" s="2">
        <v>30</v>
      </c>
      <c r="K33" s="2">
        <v>4.5999999999999996</v>
      </c>
      <c r="L33" s="2">
        <v>4.5</v>
      </c>
      <c r="M33" s="2">
        <v>30</v>
      </c>
      <c r="N33" s="4" t="s">
        <v>19</v>
      </c>
    </row>
    <row r="34" spans="1:14" ht="28.8" x14ac:dyDescent="0.3">
      <c r="A34" s="4" t="s">
        <v>66</v>
      </c>
      <c r="B34" s="5">
        <v>46240</v>
      </c>
      <c r="C34" s="4" t="s">
        <v>25</v>
      </c>
      <c r="D34" s="4" t="s">
        <v>16</v>
      </c>
      <c r="E34" s="4" t="s">
        <v>2</v>
      </c>
      <c r="F34" s="4" t="s">
        <v>17</v>
      </c>
      <c r="G34" s="4" t="s">
        <v>30</v>
      </c>
      <c r="H34" s="2">
        <v>6.7</v>
      </c>
      <c r="I34" s="2">
        <v>195</v>
      </c>
      <c r="J34" s="2">
        <v>0</v>
      </c>
      <c r="K34" s="2">
        <v>4.4000000000000004</v>
      </c>
      <c r="L34" s="2">
        <v>4.3</v>
      </c>
      <c r="M34" s="2">
        <v>23</v>
      </c>
      <c r="N34" s="4" t="s">
        <v>19</v>
      </c>
    </row>
    <row r="35" spans="1:14" ht="28.8" x14ac:dyDescent="0.3">
      <c r="A35" s="4" t="s">
        <v>67</v>
      </c>
      <c r="B35" s="5">
        <v>46241</v>
      </c>
      <c r="C35" s="4" t="s">
        <v>29</v>
      </c>
      <c r="D35" s="4" t="s">
        <v>33</v>
      </c>
      <c r="E35" s="4" t="s">
        <v>2</v>
      </c>
      <c r="F35" s="4" t="s">
        <v>34</v>
      </c>
      <c r="G35" s="4" t="s">
        <v>23</v>
      </c>
      <c r="H35" s="2">
        <v>12.8</v>
      </c>
      <c r="I35" s="2">
        <v>490</v>
      </c>
      <c r="J35" s="2">
        <v>40</v>
      </c>
      <c r="K35" s="2">
        <v>4.9000000000000004</v>
      </c>
      <c r="L35" s="2">
        <v>4.9000000000000004</v>
      </c>
      <c r="M35" s="2">
        <v>39</v>
      </c>
      <c r="N35" s="4" t="s">
        <v>19</v>
      </c>
    </row>
    <row r="36" spans="1:14" ht="28.8" x14ac:dyDescent="0.3">
      <c r="A36" s="4" t="s">
        <v>68</v>
      </c>
      <c r="B36" s="5">
        <v>46241</v>
      </c>
      <c r="C36" s="4" t="s">
        <v>32</v>
      </c>
      <c r="D36" s="4" t="s">
        <v>16</v>
      </c>
      <c r="E36" s="4" t="s">
        <v>2</v>
      </c>
      <c r="F36" s="4" t="s">
        <v>17</v>
      </c>
      <c r="G36" s="4" t="s">
        <v>18</v>
      </c>
      <c r="H36" s="2">
        <v>7.5</v>
      </c>
      <c r="I36" s="2">
        <v>220</v>
      </c>
      <c r="J36" s="2">
        <v>15</v>
      </c>
      <c r="K36" s="2">
        <v>4.7</v>
      </c>
      <c r="L36" s="2">
        <v>4.5999999999999996</v>
      </c>
      <c r="M36" s="2">
        <v>25</v>
      </c>
      <c r="N36" s="4" t="s">
        <v>19</v>
      </c>
    </row>
    <row r="37" spans="1:14" ht="28.8" x14ac:dyDescent="0.3">
      <c r="A37" s="4" t="s">
        <v>69</v>
      </c>
      <c r="B37" s="5">
        <v>46241</v>
      </c>
      <c r="C37" s="4" t="s">
        <v>36</v>
      </c>
      <c r="D37" s="4" t="s">
        <v>26</v>
      </c>
      <c r="E37" s="4" t="s">
        <v>27</v>
      </c>
      <c r="F37" s="4" t="s">
        <v>17</v>
      </c>
      <c r="G37" s="4" t="s">
        <v>23</v>
      </c>
      <c r="H37" s="2">
        <v>23.6</v>
      </c>
      <c r="I37" s="2">
        <v>705</v>
      </c>
      <c r="J37" s="2">
        <v>70</v>
      </c>
      <c r="K37" s="2">
        <v>4.8</v>
      </c>
      <c r="L37" s="2">
        <v>4.7</v>
      </c>
      <c r="M37" s="2">
        <v>54</v>
      </c>
      <c r="N37" s="4" t="s">
        <v>19</v>
      </c>
    </row>
    <row r="38" spans="1:14" ht="28.8" x14ac:dyDescent="0.3">
      <c r="A38" s="4" t="s">
        <v>70</v>
      </c>
      <c r="B38" s="5">
        <v>46241</v>
      </c>
      <c r="C38" s="4" t="s">
        <v>15</v>
      </c>
      <c r="D38" s="4" t="s">
        <v>16</v>
      </c>
      <c r="E38" s="4" t="s">
        <v>2</v>
      </c>
      <c r="F38" s="4" t="s">
        <v>22</v>
      </c>
      <c r="G38" s="4" t="s">
        <v>18</v>
      </c>
      <c r="H38" s="2">
        <v>5.3</v>
      </c>
      <c r="I38" s="2">
        <v>155</v>
      </c>
      <c r="J38" s="2">
        <v>20</v>
      </c>
      <c r="K38" s="2">
        <v>4.5</v>
      </c>
      <c r="L38" s="2">
        <v>4.4000000000000004</v>
      </c>
      <c r="M38" s="2">
        <v>19</v>
      </c>
      <c r="N38" s="4" t="s">
        <v>19</v>
      </c>
    </row>
    <row r="39" spans="1:14" ht="28.8" x14ac:dyDescent="0.3">
      <c r="A39" s="4" t="s">
        <v>71</v>
      </c>
      <c r="B39" s="5">
        <v>46241</v>
      </c>
      <c r="C39" s="4" t="s">
        <v>21</v>
      </c>
      <c r="D39" s="4" t="s">
        <v>38</v>
      </c>
      <c r="E39" s="4" t="s">
        <v>2</v>
      </c>
      <c r="F39" s="4" t="s">
        <v>17</v>
      </c>
      <c r="G39" s="4" t="s">
        <v>30</v>
      </c>
      <c r="H39" s="2">
        <v>4.7</v>
      </c>
      <c r="I39" s="2">
        <v>110</v>
      </c>
      <c r="J39" s="2">
        <v>0</v>
      </c>
      <c r="K39" s="2">
        <v>4.4000000000000004</v>
      </c>
      <c r="L39" s="2">
        <v>4.2</v>
      </c>
      <c r="M39" s="2">
        <v>18</v>
      </c>
      <c r="N39" s="4" t="s">
        <v>50</v>
      </c>
    </row>
    <row r="40" spans="1:14" ht="28.8" x14ac:dyDescent="0.3">
      <c r="A40" s="4" t="s">
        <v>72</v>
      </c>
      <c r="B40" s="5">
        <v>46241</v>
      </c>
      <c r="C40" s="4" t="s">
        <v>25</v>
      </c>
      <c r="D40" s="4" t="s">
        <v>16</v>
      </c>
      <c r="E40" s="4" t="s">
        <v>2</v>
      </c>
      <c r="F40" s="4" t="s">
        <v>34</v>
      </c>
      <c r="G40" s="4" t="s">
        <v>23</v>
      </c>
      <c r="H40" s="2">
        <v>10.9</v>
      </c>
      <c r="I40" s="2">
        <v>330</v>
      </c>
      <c r="J40" s="2">
        <v>25</v>
      </c>
      <c r="K40" s="2">
        <v>4.8</v>
      </c>
      <c r="L40" s="2">
        <v>4.7</v>
      </c>
      <c r="M40" s="2">
        <v>35</v>
      </c>
      <c r="N40" s="4" t="s">
        <v>19</v>
      </c>
    </row>
    <row r="41" spans="1:14" ht="28.8" x14ac:dyDescent="0.3">
      <c r="A41" s="4" t="s">
        <v>73</v>
      </c>
      <c r="B41" s="5">
        <v>46241</v>
      </c>
      <c r="C41" s="4" t="s">
        <v>42</v>
      </c>
      <c r="D41" s="4" t="s">
        <v>16</v>
      </c>
      <c r="E41" s="4" t="s">
        <v>27</v>
      </c>
      <c r="F41" s="4" t="s">
        <v>17</v>
      </c>
      <c r="G41" s="4" t="s">
        <v>18</v>
      </c>
      <c r="H41" s="2">
        <v>16.8</v>
      </c>
      <c r="I41" s="2">
        <v>495</v>
      </c>
      <c r="J41" s="2">
        <v>50</v>
      </c>
      <c r="K41" s="2">
        <v>4.7</v>
      </c>
      <c r="L41" s="2">
        <v>4.5999999999999996</v>
      </c>
      <c r="M41" s="2">
        <v>40</v>
      </c>
      <c r="N41" s="4" t="s">
        <v>19</v>
      </c>
    </row>
    <row r="42" spans="1:14" ht="28.8" x14ac:dyDescent="0.3">
      <c r="A42" s="4" t="s">
        <v>74</v>
      </c>
      <c r="B42" s="5">
        <v>46242</v>
      </c>
      <c r="C42" s="4" t="s">
        <v>29</v>
      </c>
      <c r="D42" s="4" t="s">
        <v>38</v>
      </c>
      <c r="E42" s="4" t="s">
        <v>2</v>
      </c>
      <c r="F42" s="4" t="s">
        <v>22</v>
      </c>
      <c r="G42" s="4" t="s">
        <v>18</v>
      </c>
      <c r="H42" s="2">
        <v>3.9</v>
      </c>
      <c r="I42" s="2">
        <v>92</v>
      </c>
      <c r="J42" s="2">
        <v>5</v>
      </c>
      <c r="K42" s="2">
        <v>4.5</v>
      </c>
      <c r="L42" s="2">
        <v>4.3</v>
      </c>
      <c r="M42" s="2">
        <v>15</v>
      </c>
      <c r="N42" s="4" t="s">
        <v>19</v>
      </c>
    </row>
    <row r="43" spans="1:14" ht="28.8" x14ac:dyDescent="0.3">
      <c r="A43" s="4" t="s">
        <v>75</v>
      </c>
      <c r="B43" s="5">
        <v>46242</v>
      </c>
      <c r="C43" s="4" t="s">
        <v>32</v>
      </c>
      <c r="D43" s="4" t="s">
        <v>33</v>
      </c>
      <c r="E43" s="4" t="s">
        <v>2</v>
      </c>
      <c r="F43" s="4" t="s">
        <v>34</v>
      </c>
      <c r="G43" s="4" t="s">
        <v>23</v>
      </c>
      <c r="H43" s="2">
        <v>15.2</v>
      </c>
      <c r="I43" s="2">
        <v>575</v>
      </c>
      <c r="J43" s="2">
        <v>50</v>
      </c>
      <c r="K43" s="2">
        <v>4.9000000000000004</v>
      </c>
      <c r="L43" s="2">
        <v>4.8</v>
      </c>
      <c r="M43" s="2">
        <v>45</v>
      </c>
      <c r="N43" s="4" t="s">
        <v>19</v>
      </c>
    </row>
    <row r="44" spans="1:14" ht="28.8" x14ac:dyDescent="0.3">
      <c r="A44" s="4" t="s">
        <v>76</v>
      </c>
      <c r="B44" s="5">
        <v>46242</v>
      </c>
      <c r="C44" s="4" t="s">
        <v>36</v>
      </c>
      <c r="D44" s="4" t="s">
        <v>16</v>
      </c>
      <c r="E44" s="4" t="s">
        <v>2</v>
      </c>
      <c r="F44" s="4" t="s">
        <v>17</v>
      </c>
      <c r="G44" s="4" t="s">
        <v>30</v>
      </c>
      <c r="H44" s="2">
        <v>8.8000000000000007</v>
      </c>
      <c r="I44" s="2">
        <v>255</v>
      </c>
      <c r="J44" s="2">
        <v>0</v>
      </c>
      <c r="K44" s="2">
        <v>4.5999999999999996</v>
      </c>
      <c r="L44" s="2">
        <v>4.5</v>
      </c>
      <c r="M44" s="2">
        <v>28</v>
      </c>
      <c r="N44" s="4" t="s">
        <v>19</v>
      </c>
    </row>
    <row r="45" spans="1:14" ht="28.8" x14ac:dyDescent="0.3">
      <c r="A45" s="4" t="s">
        <v>77</v>
      </c>
      <c r="B45" s="5">
        <v>46242</v>
      </c>
      <c r="C45" s="4" t="s">
        <v>15</v>
      </c>
      <c r="D45" s="4" t="s">
        <v>16</v>
      </c>
      <c r="E45" s="4" t="s">
        <v>2</v>
      </c>
      <c r="F45" s="4" t="s">
        <v>17</v>
      </c>
      <c r="G45" s="4" t="s">
        <v>18</v>
      </c>
      <c r="H45" s="2">
        <v>10.1</v>
      </c>
      <c r="I45" s="2">
        <v>300</v>
      </c>
      <c r="J45" s="2">
        <v>25</v>
      </c>
      <c r="K45" s="2">
        <v>4.8</v>
      </c>
      <c r="L45" s="2">
        <v>4.7</v>
      </c>
      <c r="M45" s="2">
        <v>33</v>
      </c>
      <c r="N45" s="4" t="s">
        <v>19</v>
      </c>
    </row>
    <row r="46" spans="1:14" ht="28.8" x14ac:dyDescent="0.3">
      <c r="A46" s="4" t="s">
        <v>78</v>
      </c>
      <c r="B46" s="5">
        <v>46242</v>
      </c>
      <c r="C46" s="4" t="s">
        <v>21</v>
      </c>
      <c r="D46" s="4" t="s">
        <v>26</v>
      </c>
      <c r="E46" s="4" t="s">
        <v>27</v>
      </c>
      <c r="F46" s="4" t="s">
        <v>34</v>
      </c>
      <c r="G46" s="4" t="s">
        <v>23</v>
      </c>
      <c r="H46" s="2">
        <v>27.4</v>
      </c>
      <c r="I46" s="2">
        <v>850</v>
      </c>
      <c r="J46" s="2">
        <v>100</v>
      </c>
      <c r="K46" s="2">
        <v>4.9000000000000004</v>
      </c>
      <c r="L46" s="2">
        <v>4.9000000000000004</v>
      </c>
      <c r="M46" s="2">
        <v>64</v>
      </c>
      <c r="N46" s="4" t="s">
        <v>19</v>
      </c>
    </row>
    <row r="47" spans="1:14" ht="28.8" x14ac:dyDescent="0.3">
      <c r="A47" s="4" t="s">
        <v>79</v>
      </c>
      <c r="B47" s="5">
        <v>46242</v>
      </c>
      <c r="C47" s="4" t="s">
        <v>25</v>
      </c>
      <c r="D47" s="4" t="s">
        <v>38</v>
      </c>
      <c r="E47" s="4" t="s">
        <v>2</v>
      </c>
      <c r="F47" s="4" t="s">
        <v>22</v>
      </c>
      <c r="G47" s="4" t="s">
        <v>30</v>
      </c>
      <c r="H47" s="2">
        <v>4.0999999999999996</v>
      </c>
      <c r="I47" s="2">
        <v>95</v>
      </c>
      <c r="J47" s="2">
        <v>0</v>
      </c>
      <c r="K47" s="2">
        <v>4.2</v>
      </c>
      <c r="L47" s="2">
        <v>4</v>
      </c>
      <c r="M47" s="2">
        <v>17</v>
      </c>
      <c r="N47" s="4" t="s">
        <v>19</v>
      </c>
    </row>
    <row r="48" spans="1:14" ht="28.8" x14ac:dyDescent="0.3">
      <c r="A48" s="4" t="s">
        <v>80</v>
      </c>
      <c r="B48" s="5">
        <v>46243</v>
      </c>
      <c r="C48" s="4" t="s">
        <v>29</v>
      </c>
      <c r="D48" s="4" t="s">
        <v>16</v>
      </c>
      <c r="E48" s="4" t="s">
        <v>2</v>
      </c>
      <c r="F48" s="4" t="s">
        <v>17</v>
      </c>
      <c r="G48" s="4" t="s">
        <v>18</v>
      </c>
      <c r="H48" s="2">
        <v>7.9</v>
      </c>
      <c r="I48" s="2">
        <v>230</v>
      </c>
      <c r="J48" s="2">
        <v>20</v>
      </c>
      <c r="K48" s="2">
        <v>4.7</v>
      </c>
      <c r="L48" s="2">
        <v>4.5999999999999996</v>
      </c>
      <c r="M48" s="2">
        <v>26</v>
      </c>
      <c r="N48" s="4" t="s">
        <v>19</v>
      </c>
    </row>
    <row r="49" spans="1:14" ht="28.8" x14ac:dyDescent="0.3">
      <c r="A49" s="4" t="s">
        <v>81</v>
      </c>
      <c r="B49" s="5">
        <v>46243</v>
      </c>
      <c r="C49" s="4" t="s">
        <v>32</v>
      </c>
      <c r="D49" s="4" t="s">
        <v>26</v>
      </c>
      <c r="E49" s="4" t="s">
        <v>27</v>
      </c>
      <c r="F49" s="4" t="s">
        <v>17</v>
      </c>
      <c r="G49" s="4" t="s">
        <v>23</v>
      </c>
      <c r="H49" s="2">
        <v>20.5</v>
      </c>
      <c r="I49" s="2">
        <v>625</v>
      </c>
      <c r="J49" s="2">
        <v>65</v>
      </c>
      <c r="K49" s="2">
        <v>4.8</v>
      </c>
      <c r="L49" s="2">
        <v>4.7</v>
      </c>
      <c r="M49" s="2">
        <v>49</v>
      </c>
      <c r="N49" s="4" t="s">
        <v>19</v>
      </c>
    </row>
    <row r="50" spans="1:14" ht="28.8" x14ac:dyDescent="0.3">
      <c r="A50" s="4" t="s">
        <v>82</v>
      </c>
      <c r="B50" s="5">
        <v>46243</v>
      </c>
      <c r="C50" s="4" t="s">
        <v>42</v>
      </c>
      <c r="D50" s="4" t="s">
        <v>38</v>
      </c>
      <c r="E50" s="4" t="s">
        <v>2</v>
      </c>
      <c r="F50" s="4" t="s">
        <v>22</v>
      </c>
      <c r="G50" s="4" t="s">
        <v>18</v>
      </c>
      <c r="H50" s="2">
        <v>4.8</v>
      </c>
      <c r="I50" s="2">
        <v>105</v>
      </c>
      <c r="J50" s="2">
        <v>10</v>
      </c>
      <c r="K50" s="2">
        <v>4.5999999999999996</v>
      </c>
      <c r="L50" s="2">
        <v>4.4000000000000004</v>
      </c>
      <c r="M50" s="2">
        <v>18</v>
      </c>
      <c r="N50" s="4" t="s">
        <v>19</v>
      </c>
    </row>
    <row r="51" spans="1:14" ht="28.8" x14ac:dyDescent="0.3">
      <c r="A51" s="4" t="s">
        <v>83</v>
      </c>
      <c r="B51" s="5">
        <v>46243</v>
      </c>
      <c r="C51" s="4" t="s">
        <v>36</v>
      </c>
      <c r="D51" s="4" t="s">
        <v>16</v>
      </c>
      <c r="E51" s="4" t="s">
        <v>2</v>
      </c>
      <c r="F51" s="4" t="s">
        <v>17</v>
      </c>
      <c r="G51" s="4" t="s">
        <v>18</v>
      </c>
      <c r="H51" s="2">
        <v>9.6</v>
      </c>
      <c r="I51" s="2">
        <v>285</v>
      </c>
      <c r="J51" s="2">
        <v>25</v>
      </c>
      <c r="K51" s="2">
        <v>4.7</v>
      </c>
      <c r="L51" s="2">
        <v>4.5999999999999996</v>
      </c>
      <c r="M51" s="2">
        <v>32</v>
      </c>
      <c r="N51" s="4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34EB7-F9CB-41D8-A9B3-ACFA7680C953}">
  <dimension ref="A1:AH42"/>
  <sheetViews>
    <sheetView showGridLines="0" topLeftCell="A4" zoomScale="106" zoomScaleNormal="60" workbookViewId="0">
      <selection activeCell="A27" sqref="A27"/>
    </sheetView>
  </sheetViews>
  <sheetFormatPr defaultRowHeight="14.4" x14ac:dyDescent="0.3"/>
  <cols>
    <col min="1" max="1" width="30.77734375" customWidth="1"/>
    <col min="2" max="2" width="61.33203125" customWidth="1"/>
    <col min="4" max="4" width="10.33203125" customWidth="1"/>
    <col min="5" max="5" width="12.44140625" bestFit="1" customWidth="1"/>
    <col min="6" max="6" width="14.5546875" bestFit="1" customWidth="1"/>
    <col min="8" max="8" width="12.44140625" bestFit="1" customWidth="1"/>
    <col min="9" max="9" width="21.44140625" bestFit="1" customWidth="1"/>
    <col min="11" max="11" width="12.44140625" bestFit="1" customWidth="1"/>
    <col min="12" max="12" width="14.5546875" bestFit="1" customWidth="1"/>
    <col min="14" max="14" width="12.44140625" bestFit="1" customWidth="1"/>
    <col min="15" max="15" width="14.5546875" bestFit="1" customWidth="1"/>
  </cols>
  <sheetData>
    <row r="1" spans="1:34" x14ac:dyDescent="0.3">
      <c r="A1" s="8" t="s">
        <v>84</v>
      </c>
      <c r="B1" s="8" t="s">
        <v>85</v>
      </c>
      <c r="I1">
        <v>1</v>
      </c>
      <c r="K1">
        <v>2</v>
      </c>
    </row>
    <row r="2" spans="1:34" x14ac:dyDescent="0.3">
      <c r="A2" s="10" t="s">
        <v>86</v>
      </c>
      <c r="B2" s="10" t="s">
        <v>87</v>
      </c>
      <c r="D2" t="s">
        <v>119</v>
      </c>
      <c r="E2" t="s">
        <v>120</v>
      </c>
      <c r="F2" t="s">
        <v>121</v>
      </c>
      <c r="G2" t="s">
        <v>124</v>
      </c>
      <c r="U2">
        <v>2</v>
      </c>
    </row>
    <row r="3" spans="1:34" x14ac:dyDescent="0.3">
      <c r="A3" s="10" t="s">
        <v>88</v>
      </c>
      <c r="B3" s="10" t="s">
        <v>89</v>
      </c>
      <c r="D3">
        <v>1</v>
      </c>
      <c r="E3">
        <f>COUNTA(Table1[Ride_ID])</f>
        <v>50</v>
      </c>
      <c r="H3" s="11" t="s">
        <v>122</v>
      </c>
      <c r="I3" t="s">
        <v>91</v>
      </c>
      <c r="K3" s="11" t="s">
        <v>122</v>
      </c>
      <c r="L3" t="s">
        <v>87</v>
      </c>
    </row>
    <row r="4" spans="1:34" x14ac:dyDescent="0.3">
      <c r="A4" s="10" t="s">
        <v>90</v>
      </c>
      <c r="B4" s="10" t="s">
        <v>91</v>
      </c>
      <c r="D4">
        <v>2</v>
      </c>
      <c r="E4">
        <f>COUNTIF(Table1[Status],"completed")</f>
        <v>47</v>
      </c>
      <c r="H4" s="12" t="s">
        <v>15</v>
      </c>
      <c r="I4">
        <v>2425</v>
      </c>
      <c r="K4" s="12" t="s">
        <v>38</v>
      </c>
      <c r="L4">
        <v>9</v>
      </c>
    </row>
    <row r="5" spans="1:34" x14ac:dyDescent="0.3">
      <c r="A5" s="10" t="s">
        <v>92</v>
      </c>
      <c r="B5" s="10" t="s">
        <v>93</v>
      </c>
      <c r="D5">
        <v>3</v>
      </c>
      <c r="E5">
        <f>SUM(Table1[Fare_INR])</f>
        <v>18042</v>
      </c>
      <c r="H5" s="12" t="s">
        <v>32</v>
      </c>
      <c r="I5">
        <v>2980</v>
      </c>
      <c r="K5" s="12" t="s">
        <v>33</v>
      </c>
      <c r="L5">
        <v>8</v>
      </c>
    </row>
    <row r="6" spans="1:34" x14ac:dyDescent="0.3">
      <c r="A6" s="10" t="s">
        <v>94</v>
      </c>
      <c r="B6" s="10" t="s">
        <v>95</v>
      </c>
      <c r="D6">
        <v>4</v>
      </c>
      <c r="E6">
        <f>AVERAGE(Table1[Fare_INR])</f>
        <v>360.84</v>
      </c>
      <c r="H6" s="12" t="s">
        <v>25</v>
      </c>
      <c r="I6">
        <v>2895</v>
      </c>
      <c r="K6" s="12" t="s">
        <v>16</v>
      </c>
      <c r="L6">
        <v>25</v>
      </c>
    </row>
    <row r="7" spans="1:34" x14ac:dyDescent="0.3">
      <c r="D7">
        <v>5</v>
      </c>
      <c r="E7">
        <f>AVERAGE(Table1[Customer_Rating])</f>
        <v>4.5640000000000001</v>
      </c>
      <c r="H7" s="12" t="s">
        <v>29</v>
      </c>
      <c r="I7">
        <v>2122</v>
      </c>
      <c r="K7" s="12" t="s">
        <v>26</v>
      </c>
      <c r="L7">
        <v>8</v>
      </c>
    </row>
    <row r="8" spans="1:34" x14ac:dyDescent="0.3">
      <c r="H8" s="12" t="s">
        <v>42</v>
      </c>
      <c r="I8">
        <v>1865</v>
      </c>
      <c r="K8" s="12" t="s">
        <v>123</v>
      </c>
      <c r="L8">
        <v>50</v>
      </c>
    </row>
    <row r="9" spans="1:34" x14ac:dyDescent="0.3">
      <c r="A9" s="8" t="s">
        <v>96</v>
      </c>
      <c r="B9" s="8" t="s">
        <v>97</v>
      </c>
      <c r="H9" s="12" t="s">
        <v>21</v>
      </c>
      <c r="I9">
        <v>3525</v>
      </c>
    </row>
    <row r="10" spans="1:34" x14ac:dyDescent="0.3">
      <c r="A10" s="9" t="s">
        <v>98</v>
      </c>
      <c r="B10" s="10" t="s">
        <v>99</v>
      </c>
      <c r="H10" s="12" t="s">
        <v>36</v>
      </c>
      <c r="I10">
        <v>2230</v>
      </c>
      <c r="O10">
        <v>6</v>
      </c>
    </row>
    <row r="11" spans="1:34" x14ac:dyDescent="0.3">
      <c r="A11" s="9" t="s">
        <v>100</v>
      </c>
      <c r="B11" s="10" t="s">
        <v>101</v>
      </c>
      <c r="H11" s="12" t="s">
        <v>123</v>
      </c>
      <c r="I11">
        <v>18042</v>
      </c>
      <c r="L11">
        <v>5</v>
      </c>
      <c r="N11" s="11" t="s">
        <v>122</v>
      </c>
      <c r="O11" t="s">
        <v>87</v>
      </c>
    </row>
    <row r="12" spans="1:34" x14ac:dyDescent="0.3">
      <c r="A12" s="9" t="s">
        <v>102</v>
      </c>
      <c r="B12" s="10" t="s">
        <v>103</v>
      </c>
      <c r="F12">
        <v>3</v>
      </c>
      <c r="I12">
        <v>4</v>
      </c>
      <c r="K12" s="11" t="s">
        <v>122</v>
      </c>
      <c r="L12" t="s">
        <v>91</v>
      </c>
      <c r="N12" s="12" t="s">
        <v>22</v>
      </c>
      <c r="O12">
        <v>13</v>
      </c>
    </row>
    <row r="13" spans="1:34" x14ac:dyDescent="0.3">
      <c r="A13" s="9" t="s">
        <v>104</v>
      </c>
      <c r="B13" s="10" t="s">
        <v>105</v>
      </c>
      <c r="E13" s="11" t="s">
        <v>122</v>
      </c>
      <c r="F13" t="s">
        <v>91</v>
      </c>
      <c r="K13" s="12" t="s">
        <v>27</v>
      </c>
      <c r="L13">
        <v>8400</v>
      </c>
      <c r="N13" s="12" t="s">
        <v>34</v>
      </c>
      <c r="O13">
        <v>11</v>
      </c>
    </row>
    <row r="14" spans="1:34" x14ac:dyDescent="0.3">
      <c r="A14" s="9" t="s">
        <v>106</v>
      </c>
      <c r="B14" s="10" t="s">
        <v>107</v>
      </c>
      <c r="E14" s="13">
        <v>46235</v>
      </c>
      <c r="F14">
        <v>1950</v>
      </c>
      <c r="H14" s="11" t="s">
        <v>122</v>
      </c>
      <c r="I14" t="s">
        <v>87</v>
      </c>
      <c r="K14" s="12" t="s">
        <v>2</v>
      </c>
      <c r="L14">
        <v>9642</v>
      </c>
      <c r="N14" s="12" t="s">
        <v>17</v>
      </c>
      <c r="O14">
        <v>26</v>
      </c>
    </row>
    <row r="15" spans="1:34" x14ac:dyDescent="0.3">
      <c r="A15" s="9" t="s">
        <v>108</v>
      </c>
      <c r="B15" s="10" t="s">
        <v>109</v>
      </c>
      <c r="E15" s="13">
        <v>46236</v>
      </c>
      <c r="F15">
        <v>2040</v>
      </c>
      <c r="H15" s="12" t="s">
        <v>23</v>
      </c>
      <c r="I15">
        <v>17</v>
      </c>
      <c r="K15" s="12" t="s">
        <v>123</v>
      </c>
      <c r="L15">
        <v>18042</v>
      </c>
      <c r="N15" s="12" t="s">
        <v>123</v>
      </c>
      <c r="O15">
        <v>50</v>
      </c>
    </row>
    <row r="16" spans="1:34" x14ac:dyDescent="0.3">
      <c r="A16" s="9" t="s">
        <v>110</v>
      </c>
      <c r="B16" s="10" t="s">
        <v>111</v>
      </c>
      <c r="E16" s="13">
        <v>46237</v>
      </c>
      <c r="F16">
        <v>2215</v>
      </c>
      <c r="H16" s="12" t="s">
        <v>30</v>
      </c>
      <c r="I16">
        <v>10</v>
      </c>
      <c r="AH16">
        <v>8</v>
      </c>
    </row>
    <row r="17" spans="1:24" x14ac:dyDescent="0.3">
      <c r="A17" s="9" t="s">
        <v>112</v>
      </c>
      <c r="B17" s="10" t="s">
        <v>113</v>
      </c>
      <c r="E17" s="13">
        <v>46238</v>
      </c>
      <c r="F17">
        <v>2385</v>
      </c>
      <c r="H17" s="12" t="s">
        <v>18</v>
      </c>
      <c r="I17">
        <v>23</v>
      </c>
      <c r="X17">
        <v>1</v>
      </c>
    </row>
    <row r="18" spans="1:24" x14ac:dyDescent="0.3">
      <c r="E18" s="13">
        <v>46239</v>
      </c>
      <c r="F18">
        <v>1570</v>
      </c>
      <c r="H18" s="12" t="s">
        <v>123</v>
      </c>
      <c r="I18">
        <v>50</v>
      </c>
    </row>
    <row r="19" spans="1:24" ht="18" x14ac:dyDescent="0.3">
      <c r="A19" s="6" t="s">
        <v>114</v>
      </c>
      <c r="E19" s="13">
        <v>46240</v>
      </c>
      <c r="F19">
        <v>1965</v>
      </c>
    </row>
    <row r="20" spans="1:24" x14ac:dyDescent="0.3">
      <c r="A20" s="7"/>
      <c r="E20" s="13">
        <v>46241</v>
      </c>
      <c r="F20">
        <v>2505</v>
      </c>
      <c r="S20">
        <v>3</v>
      </c>
    </row>
    <row r="21" spans="1:24" x14ac:dyDescent="0.3">
      <c r="A21" s="7" t="s">
        <v>1</v>
      </c>
      <c r="E21" s="13">
        <v>46242</v>
      </c>
      <c r="F21">
        <v>2167</v>
      </c>
      <c r="I21">
        <v>7</v>
      </c>
      <c r="L21">
        <v>8</v>
      </c>
    </row>
    <row r="22" spans="1:24" x14ac:dyDescent="0.3">
      <c r="A22" s="7" t="s">
        <v>2</v>
      </c>
      <c r="E22" s="13">
        <v>46243</v>
      </c>
      <c r="F22">
        <v>1245</v>
      </c>
      <c r="H22" s="11" t="s">
        <v>122</v>
      </c>
      <c r="I22" t="s">
        <v>125</v>
      </c>
      <c r="K22" s="11" t="s">
        <v>122</v>
      </c>
      <c r="L22" t="s">
        <v>87</v>
      </c>
    </row>
    <row r="23" spans="1:24" x14ac:dyDescent="0.3">
      <c r="A23" s="7" t="s">
        <v>115</v>
      </c>
      <c r="E23" s="13" t="s">
        <v>123</v>
      </c>
      <c r="F23">
        <v>18042</v>
      </c>
      <c r="H23" s="12" t="s">
        <v>38</v>
      </c>
      <c r="I23">
        <v>38.5</v>
      </c>
      <c r="K23" s="12" t="s">
        <v>50</v>
      </c>
      <c r="L23">
        <v>3</v>
      </c>
    </row>
    <row r="24" spans="1:24" x14ac:dyDescent="0.3">
      <c r="A24" s="7" t="s">
        <v>116</v>
      </c>
      <c r="H24" s="12" t="s">
        <v>33</v>
      </c>
      <c r="I24">
        <v>38.799999999999997</v>
      </c>
      <c r="K24" s="12" t="s">
        <v>19</v>
      </c>
      <c r="L24">
        <v>47</v>
      </c>
    </row>
    <row r="25" spans="1:24" x14ac:dyDescent="0.3">
      <c r="A25" s="7" t="s">
        <v>117</v>
      </c>
      <c r="H25" s="12" t="s">
        <v>16</v>
      </c>
      <c r="I25">
        <v>112.89999999999999</v>
      </c>
      <c r="K25" s="12" t="s">
        <v>123</v>
      </c>
      <c r="L25">
        <v>50</v>
      </c>
    </row>
    <row r="26" spans="1:24" x14ac:dyDescent="0.3">
      <c r="A26" s="7" t="s">
        <v>118</v>
      </c>
      <c r="B26">
        <v>7</v>
      </c>
      <c r="H26" s="12" t="s">
        <v>26</v>
      </c>
      <c r="I26">
        <v>38</v>
      </c>
    </row>
    <row r="27" spans="1:24" x14ac:dyDescent="0.3">
      <c r="A27" s="7" t="s">
        <v>13</v>
      </c>
      <c r="H27" s="12" t="s">
        <v>123</v>
      </c>
      <c r="I27">
        <v>228.2</v>
      </c>
    </row>
    <row r="32" spans="1:24" x14ac:dyDescent="0.3">
      <c r="G32">
        <v>4</v>
      </c>
    </row>
    <row r="35" spans="2:24" x14ac:dyDescent="0.3">
      <c r="X35">
        <v>6</v>
      </c>
    </row>
    <row r="38" spans="2:24" x14ac:dyDescent="0.3">
      <c r="B38" t="s">
        <v>126</v>
      </c>
    </row>
    <row r="42" spans="2:24" x14ac:dyDescent="0.3">
      <c r="O42">
        <v>5</v>
      </c>
    </row>
  </sheetData>
  <phoneticPr fontId="3" type="noConversion"/>
  <pageMargins left="0.7" right="0.7" top="0.75" bottom="0.75" header="0.3" footer="0.3"/>
  <drawing r:id="rId9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CONTENTS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 edakuni</dc:creator>
  <cp:lastModifiedBy>pooja suresh</cp:lastModifiedBy>
  <dcterms:created xsi:type="dcterms:W3CDTF">2026-08-10T04:14:19Z</dcterms:created>
  <dcterms:modified xsi:type="dcterms:W3CDTF">2026-08-13T04:49:34Z</dcterms:modified>
</cp:coreProperties>
</file>